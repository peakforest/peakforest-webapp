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2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80" yWindow="0" windowWidth="25360" windowHeight="15280" tabRatio="846"/>
  </bookViews>
  <sheets>
    <sheet name="analytical_sample" sheetId="1" r:id="rId1"/>
    <sheet name="chromatography" sheetId="2" r:id="rId2"/>
    <sheet name="MS_analyzer" sheetId="3" r:id="rId3"/>
    <sheet name="MS_peaks" sheetId="4" r:id="rId4"/>
    <sheet name="NMR_peaks_all" sheetId="14" state="hidden" r:id="rId5"/>
    <sheet name="NMR_analyzer" sheetId="10" r:id="rId6"/>
    <sheet name="NMR_peaks_H1D" sheetId="9" r:id="rId7"/>
    <sheet name="NMR_peaks_C1D" sheetId="13" r:id="rId8"/>
    <sheet name="other" sheetId="7" r:id="rId9"/>
    <sheet name="validation" sheetId="6" r:id="rId10"/>
    <sheet name="form_data" sheetId="5" r:id="rId11"/>
    <sheet name="MS_help" sheetId="12" r:id="rId1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6" l="1"/>
  <c r="C21" i="6"/>
  <c r="C20" i="6"/>
  <c r="C19" i="6"/>
  <c r="C18" i="6"/>
  <c r="C25" i="6"/>
  <c r="C11" i="6"/>
  <c r="C12" i="6"/>
  <c r="C10" i="6"/>
  <c r="C3" i="6"/>
  <c r="C2" i="6"/>
  <c r="C4" i="6"/>
  <c r="C5" i="6"/>
  <c r="C7" i="6"/>
  <c r="C6" i="6"/>
</calcChain>
</file>

<file path=xl/sharedStrings.xml><?xml version="1.0" encoding="utf-8"?>
<sst xmlns="http://schemas.openxmlformats.org/spreadsheetml/2006/main" count="1073" uniqueCount="513">
  <si>
    <t>sample_type</t>
  </si>
  <si>
    <t>chemical compound from chemical library</t>
  </si>
  <si>
    <t>InChIKey</t>
  </si>
  <si>
    <t>solvant</t>
  </si>
  <si>
    <t>centrifugation</t>
  </si>
  <si>
    <t>yes</t>
  </si>
  <si>
    <t>no</t>
  </si>
  <si>
    <t>chromatography</t>
  </si>
  <si>
    <t>sample_extraction</t>
  </si>
  <si>
    <t>bio_matrix_source</t>
  </si>
  <si>
    <t>bio_matrix_type</t>
  </si>
  <si>
    <t>blood</t>
  </si>
  <si>
    <t>urine</t>
  </si>
  <si>
    <t>plasma</t>
  </si>
  <si>
    <t>other</t>
  </si>
  <si>
    <t>sample type</t>
  </si>
  <si>
    <t>matrix source</t>
  </si>
  <si>
    <t>matrix type</t>
  </si>
  <si>
    <t>lock substance</t>
  </si>
  <si>
    <t>buffer solution</t>
  </si>
  <si>
    <t>reference chemical shif indicator</t>
  </si>
  <si>
    <t>time (min)</t>
  </si>
  <si>
    <t>solv. A (%)</t>
  </si>
  <si>
    <t>solv. B (%)</t>
  </si>
  <si>
    <t>compound InChIKey</t>
  </si>
  <si>
    <t>bio matrix source</t>
  </si>
  <si>
    <t>bio matrix type</t>
  </si>
  <si>
    <t>He flow (mL/min)</t>
  </si>
  <si>
    <t>GC mode</t>
  </si>
  <si>
    <t>LC mode</t>
  </si>
  <si>
    <t>type</t>
  </si>
  <si>
    <t>model</t>
  </si>
  <si>
    <t>from</t>
  </si>
  <si>
    <t>to</t>
  </si>
  <si>
    <t>probe</t>
  </si>
  <si>
    <t>polarity</t>
  </si>
  <si>
    <t>H's</t>
  </si>
  <si>
    <t>ν (F1) [ppm]</t>
  </si>
  <si>
    <t>ν (F1) [Hz]</t>
  </si>
  <si>
    <t>license/copyright</t>
  </si>
  <si>
    <t>reference concentration (mmol/L)</t>
  </si>
  <si>
    <t>concentration (mmol/L)</t>
  </si>
  <si>
    <t>m/z</t>
  </si>
  <si>
    <t>theo. mass</t>
  </si>
  <si>
    <t>delta (ppm)</t>
  </si>
  <si>
    <t>composition</t>
  </si>
  <si>
    <t>attribution</t>
  </si>
  <si>
    <t>muscle tissue</t>
  </si>
  <si>
    <t>retention time</t>
  </si>
  <si>
    <t>multiplet</t>
  </si>
  <si>
    <t>sample preparation</t>
  </si>
  <si>
    <t>H2O</t>
  </si>
  <si>
    <t>H2O/D2O</t>
  </si>
  <si>
    <t>lock_substance</t>
  </si>
  <si>
    <t>D2O</t>
  </si>
  <si>
    <t>MeOD/D2O</t>
  </si>
  <si>
    <t>CDCl3</t>
  </si>
  <si>
    <t>buffer_solution</t>
  </si>
  <si>
    <t>potassium phosphate</t>
  </si>
  <si>
    <t>sodium phosphate</t>
  </si>
  <si>
    <t>TSP</t>
  </si>
  <si>
    <t>TMS</t>
  </si>
  <si>
    <t>glucose</t>
  </si>
  <si>
    <t>reference_chemical_shif_indicator</t>
  </si>
  <si>
    <t>-</t>
  </si>
  <si>
    <t>from (min)</t>
  </si>
  <si>
    <t>to (min)</t>
  </si>
  <si>
    <t>other license</t>
  </si>
  <si>
    <t>oxalate</t>
  </si>
  <si>
    <t>NaOD, DCl</t>
  </si>
  <si>
    <t>mass range</t>
  </si>
  <si>
    <t>frag. energy (eV)*</t>
  </si>
  <si>
    <t>parent ion mass*</t>
  </si>
  <si>
    <t>raw file name</t>
  </si>
  <si>
    <t>none</t>
  </si>
  <si>
    <t>GC</t>
  </si>
  <si>
    <t>LC</t>
  </si>
  <si>
    <t>GC_methods</t>
  </si>
  <si>
    <t>chromatography_type</t>
  </si>
  <si>
    <t>analysis volume (ml)</t>
  </si>
  <si>
    <t>sample weight (mg)</t>
  </si>
  <si>
    <t>Gradient</t>
  </si>
  <si>
    <t>Isocratique</t>
  </si>
  <si>
    <t>GC_mode</t>
  </si>
  <si>
    <t>LC_methods</t>
  </si>
  <si>
    <t>magnetic_field_strength</t>
  </si>
  <si>
    <t>1D</t>
  </si>
  <si>
    <t>JRES</t>
  </si>
  <si>
    <t>2D</t>
  </si>
  <si>
    <t>H</t>
  </si>
  <si>
    <t>C</t>
  </si>
  <si>
    <t>N</t>
  </si>
  <si>
    <t>P</t>
  </si>
  <si>
    <t>software_name</t>
  </si>
  <si>
    <t>nuclear_type_d1</t>
  </si>
  <si>
    <t>nuclear_type_d2</t>
  </si>
  <si>
    <t>software_version</t>
  </si>
  <si>
    <t>free</t>
  </si>
  <si>
    <t>BBI</t>
  </si>
  <si>
    <t>TXI</t>
  </si>
  <si>
    <t>PH FISEI</t>
  </si>
  <si>
    <t>CQPCI</t>
  </si>
  <si>
    <t>CPTCI</t>
  </si>
  <si>
    <t>DUAL</t>
  </si>
  <si>
    <t>LC-RMN</t>
  </si>
  <si>
    <t>TXO</t>
  </si>
  <si>
    <t>zg</t>
  </si>
  <si>
    <t>noesygppr1d</t>
  </si>
  <si>
    <t>zgpr</t>
  </si>
  <si>
    <t>jresgpprqf</t>
  </si>
  <si>
    <t>cosygpprqf</t>
  </si>
  <si>
    <t>hmqcphpr</t>
  </si>
  <si>
    <t>hsqcetgp</t>
  </si>
  <si>
    <t>pulse_sequence</t>
  </si>
  <si>
    <t>experiment_number</t>
  </si>
  <si>
    <t>pulse_angle</t>
  </si>
  <si>
    <t>30-90</t>
  </si>
  <si>
    <t>8192(F2)*32(F1)</t>
  </si>
  <si>
    <t>4096(F2)*512(F1)</t>
  </si>
  <si>
    <t>4096(F2)*256(F1)</t>
  </si>
  <si>
    <t>number_of_points</t>
  </si>
  <si>
    <t>relaxation_delay</t>
  </si>
  <si>
    <t>number_of_scans</t>
  </si>
  <si>
    <t>expected_result</t>
  </si>
  <si>
    <t>Water suppression</t>
  </si>
  <si>
    <t>Multiplicity of protons and coupling constant J (Hz)</t>
  </si>
  <si>
    <t>Coupling proton-proton</t>
  </si>
  <si>
    <t>Coupling proton-carbone</t>
  </si>
  <si>
    <t>copyright</t>
  </si>
  <si>
    <t>CC - by - sa</t>
  </si>
  <si>
    <t>CC - by -nc - sa</t>
  </si>
  <si>
    <t>Copyright</t>
  </si>
  <si>
    <t>data ownership</t>
  </si>
  <si>
    <t>data author(s)</t>
  </si>
  <si>
    <t>acquisition date</t>
  </si>
  <si>
    <t>ms_level</t>
  </si>
  <si>
    <t>ms</t>
  </si>
  <si>
    <t>ms2</t>
  </si>
  <si>
    <t>ms3</t>
  </si>
  <si>
    <t>positive</t>
  </si>
  <si>
    <t>negative</t>
  </si>
  <si>
    <t>sheet</t>
  </si>
  <si>
    <t>ionization_mode</t>
  </si>
  <si>
    <t>ESI</t>
  </si>
  <si>
    <t>ACPI</t>
  </si>
  <si>
    <t>template_spec</t>
  </si>
  <si>
    <t>all</t>
  </si>
  <si>
    <t>template_version</t>
  </si>
  <si>
    <t>template_status</t>
  </si>
  <si>
    <t>dev</t>
  </si>
  <si>
    <t>alpha</t>
  </si>
  <si>
    <t>beta</t>
  </si>
  <si>
    <t>release_candidate</t>
  </si>
  <si>
    <t>stable</t>
  </si>
  <si>
    <t xml:space="preserve"> </t>
  </si>
  <si>
    <t>LC_mode</t>
  </si>
  <si>
    <t>GC_column_constructor</t>
  </si>
  <si>
    <t>AGILENT</t>
  </si>
  <si>
    <t>HPINTERCHIM</t>
  </si>
  <si>
    <t>J&amp;W scientific</t>
  </si>
  <si>
    <t>OV</t>
  </si>
  <si>
    <t>VARIAN</t>
  </si>
  <si>
    <t>GC_column_name</t>
  </si>
  <si>
    <t>LC_column_constructor</t>
  </si>
  <si>
    <t>Agilent</t>
  </si>
  <si>
    <t>Alltech</t>
  </si>
  <si>
    <t>CIL Cluzeau</t>
  </si>
  <si>
    <t>Daicel</t>
  </si>
  <si>
    <t>Hypersil</t>
  </si>
  <si>
    <t>Interchim</t>
  </si>
  <si>
    <t>Macherey Nagel</t>
  </si>
  <si>
    <t>Phenomenex</t>
  </si>
  <si>
    <t>Shiseido</t>
  </si>
  <si>
    <t>Thermo</t>
  </si>
  <si>
    <t>Vydac</t>
  </si>
  <si>
    <t>Waters</t>
  </si>
  <si>
    <t>YMC</t>
  </si>
  <si>
    <t>reference compound added</t>
  </si>
  <si>
    <t>Liquid Chromatography</t>
  </si>
  <si>
    <t>Gaz Chromatography</t>
  </si>
  <si>
    <t>No Chromatography</t>
  </si>
  <si>
    <t>Method</t>
  </si>
  <si>
    <t>Column constructor</t>
  </si>
  <si>
    <t>Column name</t>
  </si>
  <si>
    <t>Column length (mm)</t>
  </si>
  <si>
    <t>Column diameter (mm)</t>
  </si>
  <si>
    <t>Particule size (µm)</t>
  </si>
  <si>
    <t>Column temperature (°C)</t>
  </si>
  <si>
    <t>Separation flow rate (µL/min)</t>
  </si>
  <si>
    <t>Separation solvent A</t>
  </si>
  <si>
    <t>pH solvent A</t>
  </si>
  <si>
    <t>Separation solvent B</t>
  </si>
  <si>
    <t>pH solvent B</t>
  </si>
  <si>
    <t>Instrument</t>
  </si>
  <si>
    <t>Model</t>
  </si>
  <si>
    <t>Resolution FWHM</t>
  </si>
  <si>
    <t>Detector</t>
  </si>
  <si>
    <t>Detection protocol</t>
  </si>
  <si>
    <t>Spray (needle) gaz flow</t>
  </si>
  <si>
    <t>Vaporizer gaz flow</t>
  </si>
  <si>
    <t>Source gaz flow</t>
  </si>
  <si>
    <t>High voltage (ESI) /                 Corona voltage (APCI)</t>
  </si>
  <si>
    <t>Analyzer</t>
  </si>
  <si>
    <t>Column length (m)</t>
  </si>
  <si>
    <t>Year of purchase</t>
  </si>
  <si>
    <t>Injection volume (µL)</t>
  </si>
  <si>
    <t>EID</t>
  </si>
  <si>
    <t>IRMPD</t>
  </si>
  <si>
    <t>if LTQ</t>
  </si>
  <si>
    <t>if Obritrap</t>
  </si>
  <si>
    <t>from (%CH3OH)</t>
  </si>
  <si>
    <t>to  (%CH3OH)</t>
  </si>
  <si>
    <t>retention time (% solvant)</t>
  </si>
  <si>
    <t>absolute intensity</t>
  </si>
  <si>
    <t>to (%CH3OH)</t>
  </si>
  <si>
    <t>m/z range</t>
  </si>
  <si>
    <t>chemical compound mix</t>
  </si>
  <si>
    <r>
      <rPr>
        <b/>
        <sz val="12"/>
        <color theme="0" tint="-0.499984740745262"/>
        <rFont val="Calibri"/>
        <scheme val="minor"/>
      </rPr>
      <t>Note</t>
    </r>
    <r>
      <rPr>
        <sz val="12"/>
        <color theme="0" tint="-0.499984740745262"/>
        <rFont val="Calibri"/>
        <scheme val="minor"/>
      </rPr>
      <t>: let unused cells empty</t>
    </r>
  </si>
  <si>
    <t>Notes:</t>
  </si>
  <si>
    <t>Warning:</t>
  </si>
  <si>
    <t>this is NOT the final version: work in progess!</t>
  </si>
  <si>
    <t>only if other, enter free source:</t>
  </si>
  <si>
    <t>only if other, enter free type:</t>
  </si>
  <si>
    <t>data validator(s)</t>
  </si>
  <si>
    <t>Ion transfer tube temperature / Transfer capillary temperature</t>
  </si>
  <si>
    <t>Mandatory</t>
  </si>
  <si>
    <t>Optional</t>
  </si>
  <si>
    <t>|=&gt; choose in list</t>
  </si>
  <si>
    <t>NMR tube preparation</t>
  </si>
  <si>
    <t>sample pH or sample apparent pH</t>
  </si>
  <si>
    <t>brain tissue</t>
  </si>
  <si>
    <t>liver tissue</t>
  </si>
  <si>
    <t>acetone-d6</t>
  </si>
  <si>
    <t>deuterated potassium phosphate</t>
  </si>
  <si>
    <t>dimensions</t>
  </si>
  <si>
    <t>Avance I</t>
  </si>
  <si>
    <t>Avance II</t>
  </si>
  <si>
    <t>Avance III</t>
  </si>
  <si>
    <t>TopSpin</t>
  </si>
  <si>
    <t>4k</t>
  </si>
  <si>
    <t>10k</t>
  </si>
  <si>
    <t>Instrument name</t>
  </si>
  <si>
    <t>Software</t>
  </si>
  <si>
    <t>NMR probe</t>
  </si>
  <si>
    <t>NMR tube diameter (mm)</t>
  </si>
  <si>
    <t>NOTE: in a futur release of this file, you could choose the acquisition.</t>
  </si>
  <si>
    <t>Proton acquisition</t>
  </si>
  <si>
    <t>Pulse sequence</t>
  </si>
  <si>
    <t>Temperature (K)</t>
  </si>
  <si>
    <t>SW (ppm)</t>
  </si>
  <si>
    <t>Noesypr1d acquisition</t>
  </si>
  <si>
    <t>Cpmgpr1d acquisition</t>
  </si>
  <si>
    <t>Carbone-13 acquisition</t>
  </si>
  <si>
    <t>COSY acquisition</t>
  </si>
  <si>
    <t>Number of points (F1)</t>
  </si>
  <si>
    <t>Number of points (F2)</t>
  </si>
  <si>
    <t>SW (ppm) 1H</t>
  </si>
  <si>
    <t>TOCSY acquisition</t>
  </si>
  <si>
    <t>Number of points</t>
  </si>
  <si>
    <t>HSQC acquisition</t>
  </si>
  <si>
    <t>SW (ppm) 13C</t>
  </si>
  <si>
    <t>JRES acquisition</t>
  </si>
  <si>
    <t>JXH (Hz)</t>
  </si>
  <si>
    <t>J(Hz)</t>
  </si>
  <si>
    <t>range (ppm)</t>
  </si>
  <si>
    <t>Atoms</t>
  </si>
  <si>
    <t>MSI level</t>
  </si>
  <si>
    <t>HSQC</t>
  </si>
  <si>
    <t>1H (ppm)</t>
  </si>
  <si>
    <t>13C (ppm)</t>
  </si>
  <si>
    <t>|=&gt; you can insert new rows here</t>
  </si>
  <si>
    <t>|=&gt; leave unused rows empty</t>
  </si>
  <si>
    <t>use "," as separator</t>
  </si>
  <si>
    <t>[ppm1 .. ppm2]</t>
  </si>
  <si>
    <t>NOTE:  if completed, image of the molecule with atom number attribution</t>
  </si>
  <si>
    <t>analytical sample</t>
  </si>
  <si>
    <t>scan type</t>
  </si>
  <si>
    <t>choose in list</t>
  </si>
  <si>
    <r>
      <t>MS</t>
    </r>
    <r>
      <rPr>
        <b/>
        <vertAlign val="superscript"/>
        <sz val="12"/>
        <color rgb="FF006100"/>
        <rFont val="Calibri"/>
        <family val="2"/>
        <scheme val="minor"/>
      </rPr>
      <t>n</t>
    </r>
    <r>
      <rPr>
        <b/>
        <sz val="12"/>
        <color rgb="FF006100"/>
        <rFont val="Calibri"/>
        <family val="2"/>
        <scheme val="minor"/>
      </rPr>
      <t xml:space="preserve"> precursor</t>
    </r>
  </si>
  <si>
    <t>resolution</t>
  </si>
  <si>
    <t>xxx -&gt; 
xxx -&gt; yyy -&gt;</t>
  </si>
  <si>
    <t>low</t>
  </si>
  <si>
    <t>hight</t>
  </si>
  <si>
    <t xml:space="preserve">Frag. energy </t>
  </si>
  <si>
    <t>(normalized %)
 resonance (HCD)</t>
  </si>
  <si>
    <t>(normal. %) 
non resonance (CID)</t>
  </si>
  <si>
    <r>
      <t>frag. energy (eV)</t>
    </r>
    <r>
      <rPr>
        <b/>
        <sz val="12"/>
        <color rgb="FFFF0000"/>
        <rFont val="Calibri"/>
        <family val="2"/>
        <scheme val="minor"/>
      </rPr>
      <t>*</t>
    </r>
  </si>
  <si>
    <r>
      <t>frag. energy (mV)</t>
    </r>
    <r>
      <rPr>
        <b/>
        <sz val="12"/>
        <color rgb="FFFF0000"/>
        <rFont val="Calibri"/>
        <family val="2"/>
        <scheme val="minor"/>
      </rPr>
      <t>*</t>
    </r>
  </si>
  <si>
    <r>
      <t>parent ion m/z</t>
    </r>
    <r>
      <rPr>
        <b/>
        <sz val="12"/>
        <color rgb="FFFF0000"/>
        <rFont val="Calibri"/>
        <family val="2"/>
        <scheme val="minor"/>
      </rPr>
      <t>*</t>
    </r>
  </si>
  <si>
    <r>
      <t>parent spectrum 
sheet name</t>
    </r>
    <r>
      <rPr>
        <b/>
        <sz val="12"/>
        <color rgb="FFFF0000"/>
        <rFont val="Calibri"/>
        <family val="2"/>
        <scheme val="minor"/>
      </rPr>
      <t>*</t>
    </r>
  </si>
  <si>
    <t>WARNING: this sheet has not been checked</t>
  </si>
  <si>
    <t>MS analyzer</t>
  </si>
  <si>
    <t>NMR analyser</t>
  </si>
  <si>
    <t>Decoupling type</t>
  </si>
  <si>
    <t>Acquisition mode F1</t>
  </si>
  <si>
    <t>Acquisition mode F2</t>
  </si>
  <si>
    <t>NMR_tube_diameter</t>
  </si>
  <si>
    <t>1.7</t>
  </si>
  <si>
    <t>NA</t>
  </si>
  <si>
    <t>API-MS procedure Bordeaux</t>
  </si>
  <si>
    <t>|=&gt; enter your lab. / plateforme name</t>
  </si>
  <si>
    <t>|=&gt; enter your lab. / plateforme name &amp; sample provider;</t>
  </si>
  <si>
    <t>|=&gt; name of the personne who checked all data in this file</t>
  </si>
  <si>
    <t>|=&gt; format: "2014-02-20"</t>
  </si>
  <si>
    <t>|=&gt; needed to retrive file later</t>
  </si>
  <si>
    <t>|=&gt; optional, to check if the file is correct</t>
  </si>
  <si>
    <t>Acetonitrile</t>
  </si>
  <si>
    <t>Methanol</t>
  </si>
  <si>
    <t>H2O + 0.1% Formic Acid</t>
  </si>
  <si>
    <t>Acetonitrile + 0.1% Formic Acid</t>
  </si>
  <si>
    <t>H2O, ammonium carbonate 10 mM, pH10.5</t>
  </si>
  <si>
    <t>Phases mobiles</t>
  </si>
  <si>
    <t>MS - solvent</t>
  </si>
  <si>
    <t>ACN/H2O (1/1, v/v)</t>
  </si>
  <si>
    <t>3/5 in H2O + 0.1% AF/ ACN + 0.1% AF (50/50, v/v)</t>
  </si>
  <si>
    <t>CH3OH/H2O (1/1, v/v)</t>
  </si>
  <si>
    <t>solvent</t>
  </si>
  <si>
    <t>IDF (API-MS procedures_HILICneg_IDF)</t>
  </si>
  <si>
    <t>IDF (API-MS procedures_HILICpos_IDF)</t>
  </si>
  <si>
    <t>IDF (API-MS procedures_PFPPneg_IDF)</t>
  </si>
  <si>
    <t>IDF (API-MS procedures_PFPPpos_IDF)</t>
  </si>
  <si>
    <t>IDF (API-MS procedures_RPC18neg_IDF)</t>
  </si>
  <si>
    <t>IDF (API-MS procedures_RPC18pos_IDF)</t>
  </si>
  <si>
    <t>H2O/ACN (40/60)</t>
  </si>
  <si>
    <t>H2O/ACN (95/5)</t>
  </si>
  <si>
    <t>IDF (API-MS procedures_RPC8neg_IDF)</t>
  </si>
  <si>
    <t>IDF (API-MS procedures_RPC8pos_IDF)</t>
  </si>
  <si>
    <t>MetaToul Tissue ESI+ (API-MS procedures_Toulouse-MetaToul)</t>
  </si>
  <si>
    <t>MetaToul Tissue ESI- (API-MS procedures_Toulouse-MetaToul)</t>
  </si>
  <si>
    <t>MetaToul Cells ESI+ (API-MS procedures_Toulouse-MetaToul)</t>
  </si>
  <si>
    <t>MetaToul Cells ESI- (API-MS procedures_Toulouse-MetaToul)</t>
  </si>
  <si>
    <t>raw file size (Ko)</t>
  </si>
  <si>
    <t>lock substance concentration (volumic %)</t>
  </si>
  <si>
    <t>buffer solution concentration (mmol/L)</t>
  </si>
  <si>
    <t>reference chemical shif indicator (other)</t>
  </si>
  <si>
    <t>PULPROG</t>
  </si>
  <si>
    <t>##$PULPROG =&lt;…&gt;</t>
  </si>
  <si>
    <t>F1</t>
  </si>
  <si>
    <t>?</t>
  </si>
  <si>
    <t>NS</t>
  </si>
  <si>
    <t>##$NS</t>
  </si>
  <si>
    <t>TE</t>
  </si>
  <si>
    <t>##$TE</t>
  </si>
  <si>
    <t>DS</t>
  </si>
  <si>
    <t>##$DS</t>
  </si>
  <si>
    <t>SW</t>
  </si>
  <si>
    <t>##$SW</t>
  </si>
  <si>
    <t>D8</t>
  </si>
  <si>
    <t>##D = (value 9, start at 0)</t>
  </si>
  <si>
    <t>hint: also know in topsin as value…</t>
  </si>
  <si>
    <t>label in file "acqu" with prefix</t>
  </si>
  <si>
    <t>Cell or Tube</t>
  </si>
  <si>
    <t>cell</t>
  </si>
  <si>
    <t>tube</t>
  </si>
  <si>
    <t>cell_or_tube</t>
  </si>
  <si>
    <t>Pulse angle (°)</t>
  </si>
  <si>
    <t>Default: 90°, set if different</t>
  </si>
  <si>
    <t>Relaxation delay D1 (s)</t>
  </si>
  <si>
    <t>Mixing time (s)</t>
  </si>
  <si>
    <t>Mandatory?</t>
  </si>
  <si>
    <t>TopSpin 2.1</t>
  </si>
  <si>
    <t>TopSpin 3.0</t>
  </si>
  <si>
    <t>TopSpin 3.1</t>
  </si>
  <si>
    <t>BBFO</t>
  </si>
  <si>
    <t>BBO</t>
  </si>
  <si>
    <t>HRMAS</t>
  </si>
  <si>
    <t>Cryo-DUAL</t>
  </si>
  <si>
    <t>Spin-echo delay (µs)</t>
  </si>
  <si>
    <t>Number of loops</t>
  </si>
  <si>
    <t>Spectra processing parameters</t>
  </si>
  <si>
    <t>Fourier transform</t>
  </si>
  <si>
    <t>SI</t>
  </si>
  <si>
    <t>Line broadening</t>
  </si>
  <si>
    <t>LB</t>
  </si>
  <si>
    <t>TD</t>
  </si>
  <si>
    <t>##$TD</t>
  </si>
  <si>
    <t>Number of scans</t>
  </si>
  <si>
    <t>Mandatory if aqueous solvant</t>
  </si>
  <si>
    <t>sample solvent</t>
  </si>
  <si>
    <t>proton nmr peaks</t>
  </si>
  <si>
    <t>peak index</t>
  </si>
  <si>
    <t>region</t>
  </si>
  <si>
    <t>index (F1)</t>
  </si>
  <si>
    <t>intensity [abs]</t>
  </si>
  <si>
    <t>intensity [rel]</t>
  </si>
  <si>
    <t>half width [ppm]</t>
  </si>
  <si>
    <t>half width [Hz]</t>
  </si>
  <si>
    <t>annotation</t>
  </si>
  <si>
    <t>proton nmr peaks + sat</t>
  </si>
  <si>
    <t>atoms</t>
  </si>
  <si>
    <t>|=&gt; MSI level: used for biomatrix (later)</t>
  </si>
  <si>
    <t>carbon</t>
  </si>
  <si>
    <t>WARNING: mandatory / optional fields are still in discussion</t>
  </si>
  <si>
    <t>SW?</t>
  </si>
  <si>
    <t>##$SW?</t>
  </si>
  <si>
    <t>Flow cell volume (µl)</t>
  </si>
  <si>
    <t>InChI</t>
  </si>
  <si>
    <t>very optional</t>
  </si>
  <si>
    <t>Optional (quantification)</t>
  </si>
  <si>
    <t>molecule common name</t>
  </si>
  <si>
    <t>/!\ mass only</t>
  </si>
  <si>
    <t>/!\ nmr only</t>
  </si>
  <si>
    <t>10% ACN + 0.1% FA</t>
  </si>
  <si>
    <t>Column constructor (other)</t>
  </si>
  <si>
    <t>Supelco (Sigma-Aldrich)</t>
  </si>
  <si>
    <t>10mM (NH4)2CO3 / ACN (20/80) (v/v)</t>
  </si>
  <si>
    <t>5% ACN + 0.1% FA in H2O</t>
  </si>
  <si>
    <t>10% ACN + 0.1% FA in H2O</t>
  </si>
  <si>
    <t>Mandatory if Tube</t>
  </si>
  <si>
    <t>Mandatory if Cell</t>
  </si>
  <si>
    <t>mode pos</t>
  </si>
  <si>
    <t>mode neg</t>
  </si>
  <si>
    <t>column diameter (mm)</t>
  </si>
  <si>
    <t>column length (mm)</t>
  </si>
  <si>
    <t>particule size (µm)</t>
  </si>
  <si>
    <t>magnetic field strenght (MHz)</t>
  </si>
  <si>
    <t>cell or tube</t>
  </si>
  <si>
    <t>flow cell volume (µl)</t>
  </si>
  <si>
    <t>???</t>
  </si>
  <si>
    <t>Magnetic field strength (MHz)</t>
  </si>
  <si>
    <t>relative intensity (%)</t>
  </si>
  <si>
    <t>Vaporizer temperature</t>
  </si>
  <si>
    <t>Molecule ionization</t>
  </si>
  <si>
    <t>Separation flow gradient</t>
  </si>
  <si>
    <t>potassium and sodium phosphate</t>
  </si>
  <si>
    <t>Cryo-TXI</t>
  </si>
  <si>
    <t>Ionization method</t>
  </si>
  <si>
    <t>|=&gt; format: resolution@mass</t>
  </si>
  <si>
    <t>|=&gt; in °C</t>
  </si>
  <si>
    <t>CF_plasma method 3_NEG (API-MS procedure_Clermont Ferrand)</t>
  </si>
  <si>
    <t>CF_urine method_POS (API-MS procedure_Clermont Ferrand)</t>
  </si>
  <si>
    <t>CF_urine method_NEG (API-MS procedure_Clermont Ferrand)</t>
  </si>
  <si>
    <t>IDF_Plasma-FIA-OrbitrapNeg (API-MS procedures - IDF-upmc)</t>
  </si>
  <si>
    <t>IDF_Urine-LC-OrbitrapPos (API-MS procedures - IDF-upmc)</t>
  </si>
  <si>
    <t>IDF_Plasma-LC-OrbitrapPos (API-MS procedures - IDF-upmc)</t>
  </si>
  <si>
    <t>CF_plasma method 1_NEG (API-MS procedure_Clermont Ferrand)</t>
  </si>
  <si>
    <t>CF_plasma method 2_NEG (API-MS procedure_Clermont Ferrand)</t>
  </si>
  <si>
    <t>CF_plasma method 1_POS (API-MS procedure_Clermont Ferrand)</t>
  </si>
  <si>
    <t>CF_plasma method 2_POS (API-MS procedure_Clermont Ferrand)</t>
  </si>
  <si>
    <t>CF_plasma method 3_POS (API-MS procedure_Clermont Ferrand)</t>
  </si>
  <si>
    <t>|=&gt; arbitrary in Xcalibur</t>
  </si>
  <si>
    <t>|=&gt; in kV</t>
  </si>
  <si>
    <t>H2O, ammonium acetate 2.5 mM</t>
  </si>
  <si>
    <t>Methanol / ACN (60/40) ammonium acetate 2.5 mM</t>
  </si>
  <si>
    <t>Optional (only if aqueous solvent)</t>
  </si>
  <si>
    <t>Methanol / CH3CO2H (100/0.1)</t>
  </si>
  <si>
    <t>H2O / CH3OH / CH3CO2H (95/5/0.1)</t>
  </si>
  <si>
    <t>Methanol / H2O (1/1)</t>
  </si>
  <si>
    <t>Methanol / H2O (1/1), 0.1% FA</t>
  </si>
  <si>
    <t>IDF_Plasma-FIA-OrbitrapPos (API-MS procedures - IDF-upmc)</t>
  </si>
  <si>
    <t>IDF_Tissue-FIA-OrbitrapPos  (API-MS procedures - IDF-upmc)</t>
  </si>
  <si>
    <t>IDF_Tissue-FIA-OrbitrapNeg  (API-MS procedures - IDF-upmc)</t>
  </si>
  <si>
    <t>Merck</t>
  </si>
  <si>
    <t>cpd-mix solvent</t>
  </si>
  <si>
    <t>common name</t>
  </si>
  <si>
    <t>analytical matrix (biological)</t>
  </si>
  <si>
    <t>concentration (µg/ml)</t>
  </si>
  <si>
    <t>exact mass</t>
  </si>
  <si>
    <t>InChIKey*</t>
  </si>
  <si>
    <t>(M+H)+ or (M-H)-</t>
  </si>
  <si>
    <t>*:mandatory</t>
  </si>
  <si>
    <t>chemical library compound (single)</t>
  </si>
  <si>
    <t>chemical library compounds mix</t>
  </si>
  <si>
    <t>standardized matrix</t>
  </si>
  <si>
    <t>std-matrix</t>
  </si>
  <si>
    <t>putative cpd name</t>
  </si>
  <si>
    <t>putative cpd inchikey</t>
  </si>
  <si>
    <t>identified compound</t>
  </si>
  <si>
    <t>0.1.3</t>
  </si>
  <si>
    <t>H2O/Ethanol (75/25)</t>
  </si>
  <si>
    <t>NIST plasma</t>
  </si>
  <si>
    <t>unknown source</t>
  </si>
  <si>
    <t>biofilm</t>
  </si>
  <si>
    <t>other species</t>
  </si>
  <si>
    <t>Arabidopsis thaliana</t>
  </si>
  <si>
    <t>Solanum lycopersicum</t>
  </si>
  <si>
    <t>Homo sapiens</t>
  </si>
  <si>
    <t>Mus musculus</t>
  </si>
  <si>
    <t>Rattus Norvegicus</t>
  </si>
  <si>
    <t>Saccharomyces cerevisiae</t>
  </si>
  <si>
    <t>Vitis</t>
  </si>
  <si>
    <t>Escherichia coli</t>
  </si>
  <si>
    <t>Pseudomonas</t>
  </si>
  <si>
    <t>plant</t>
  </si>
  <si>
    <t>fruit</t>
  </si>
  <si>
    <t>fruit body</t>
  </si>
  <si>
    <t>fruit capsule</t>
  </si>
  <si>
    <t>fruit peduncule</t>
  </si>
  <si>
    <t>fruit juice</t>
  </si>
  <si>
    <t>exocarp</t>
  </si>
  <si>
    <t>sorocarp</t>
  </si>
  <si>
    <t>pulp</t>
  </si>
  <si>
    <t>other source</t>
  </si>
  <si>
    <t>APPI</t>
  </si>
  <si>
    <t>EI</t>
  </si>
  <si>
    <t>FAB</t>
  </si>
  <si>
    <t>MALDI</t>
  </si>
  <si>
    <t>Unknown</t>
  </si>
  <si>
    <r>
      <t>|=&gt; Ion analyzer types are "</t>
    </r>
    <r>
      <rPr>
        <b/>
        <sz val="12"/>
        <color theme="1"/>
        <rFont val="Calibri"/>
        <family val="2"/>
        <scheme val="minor"/>
      </rPr>
      <t>B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E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FT</t>
    </r>
    <r>
      <rPr>
        <sz val="12"/>
        <color theme="1"/>
        <rFont val="Calibri"/>
        <family val="2"/>
        <scheme val="minor"/>
      </rPr>
      <t>" (incule other types using FT like FTICR or Orbitrap), "</t>
    </r>
    <r>
      <rPr>
        <b/>
        <sz val="12"/>
        <color theme="1"/>
        <rFont val="Calibri"/>
        <family val="2"/>
        <scheme val="minor"/>
      </rPr>
      <t>IT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Q</t>
    </r>
    <r>
      <rPr>
        <sz val="12"/>
        <color theme="1"/>
        <rFont val="Calibri"/>
        <family val="2"/>
        <scheme val="minor"/>
      </rPr>
      <t>", "</t>
    </r>
    <r>
      <rPr>
        <b/>
        <sz val="12"/>
        <color theme="1"/>
        <rFont val="Calibri"/>
        <family val="2"/>
        <scheme val="minor"/>
      </rPr>
      <t>TOF</t>
    </r>
    <r>
      <rPr>
        <sz val="12"/>
        <color theme="1"/>
        <rFont val="Calibri"/>
        <family val="2"/>
        <scheme val="minor"/>
      </rPr>
      <t>" (</t>
    </r>
    <r>
      <rPr>
        <i/>
        <sz val="12"/>
        <color theme="1"/>
        <rFont val="Calibri"/>
        <scheme val="minor"/>
      </rPr>
      <t>e.g.</t>
    </r>
    <r>
      <rPr>
        <sz val="12"/>
        <color theme="1"/>
        <rFont val="Calibri"/>
        <family val="2"/>
        <scheme val="minor"/>
      </rPr>
      <t>: "QTOF", "QQQ", "EB", "ITFT")*</t>
    </r>
  </si>
  <si>
    <r>
      <t xml:space="preserve">*for further informations please refer to </t>
    </r>
    <r>
      <rPr>
        <b/>
        <sz val="12"/>
        <color theme="1"/>
        <rFont val="Calibri"/>
        <family val="2"/>
        <scheme val="minor"/>
      </rPr>
      <t>MassBank Record</t>
    </r>
    <r>
      <rPr>
        <sz val="12"/>
        <color theme="1"/>
        <rFont val="Calibri"/>
        <family val="2"/>
        <scheme val="minor"/>
      </rPr>
      <t xml:space="preserve"> documentation</t>
    </r>
  </si>
  <si>
    <t>Ion analyzer type</t>
  </si>
  <si>
    <t>BOOLEAN</t>
  </si>
  <si>
    <t>identification</t>
  </si>
  <si>
    <t>Confident identifications</t>
  </si>
  <si>
    <t>Putatively annotated compounds</t>
  </si>
  <si>
    <t>Putatively characterized compound classes</t>
  </si>
  <si>
    <t>Unknown compounds</t>
  </si>
  <si>
    <t>identification level*</t>
  </si>
  <si>
    <r>
      <t>*</t>
    </r>
    <r>
      <rPr>
        <i/>
        <sz val="12"/>
        <color theme="1"/>
        <rFont val="Calibri"/>
        <scheme val="minor"/>
      </rPr>
      <t>cf</t>
    </r>
    <r>
      <rPr>
        <sz val="12"/>
        <color theme="1"/>
        <rFont val="Calibri"/>
        <family val="2"/>
        <scheme val="minor"/>
      </rPr>
      <t xml:space="preserve"> Sumner </t>
    </r>
    <r>
      <rPr>
        <i/>
        <sz val="12"/>
        <color theme="1"/>
        <rFont val="Calibri"/>
        <scheme val="minor"/>
      </rPr>
      <t>et al</t>
    </r>
    <r>
      <rPr>
        <sz val="12"/>
        <color theme="1"/>
        <rFont val="Calibri"/>
        <family val="2"/>
        <scheme val="minor"/>
      </rPr>
      <t xml:space="preserve">, "Proposed quantitative and alphanumeric metabolite identification metrics", Metabolomics (2014) </t>
    </r>
  </si>
  <si>
    <t>DOI 10.1007/s11306-014-0739-6</t>
  </si>
  <si>
    <t>this template has been released on 2015/07/24;</t>
  </si>
  <si>
    <t>TopSpin 3.2</t>
  </si>
  <si>
    <t>LTQ-Orbitrap procedure Bordeaux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</si>
</sst>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6100"/>
      <name val="Calibri"/>
      <family val="2"/>
      <scheme val="minor"/>
    </font>
    <font>
      <i/>
      <sz val="12"/>
      <color theme="1"/>
      <name val="Calibri"/>
      <scheme val="minor"/>
    </font>
    <font>
      <b/>
      <sz val="12"/>
      <color rgb="FF006100"/>
      <name val="Calibri"/>
      <family val="2"/>
      <scheme val="minor"/>
    </font>
    <font>
      <i/>
      <sz val="12"/>
      <color rgb="FF006100"/>
      <name val="Calibri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000000"/>
      <name val="Calibri"/>
      <scheme val="minor"/>
    </font>
    <font>
      <sz val="12"/>
      <color rgb="FF000000"/>
      <name val="Lucida Grande"/>
    </font>
    <font>
      <sz val="12"/>
      <color theme="0" tint="-0.499984740745262"/>
      <name val="Calibri"/>
      <scheme val="minor"/>
    </font>
    <font>
      <b/>
      <sz val="12"/>
      <color theme="0" tint="-0.499984740745262"/>
      <name val="Calibri"/>
      <scheme val="minor"/>
    </font>
    <font>
      <sz val="12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b/>
      <sz val="12"/>
      <color rgb="FF9C65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2"/>
      <color rgb="FFFF0000"/>
      <name val="Calibri"/>
      <scheme val="minor"/>
    </font>
    <font>
      <b/>
      <vertAlign val="superscript"/>
      <sz val="12"/>
      <color rgb="FF006100"/>
      <name val="Calibri"/>
      <family val="2"/>
      <scheme val="minor"/>
    </font>
    <font>
      <i/>
      <sz val="12"/>
      <color theme="0" tint="-0.499984740745262"/>
      <name val="Calibri"/>
      <scheme val="minor"/>
    </font>
    <font>
      <sz val="12"/>
      <color rgb="FF9C0006"/>
      <name val="Calibri"/>
      <family val="2"/>
      <scheme val="minor"/>
    </font>
    <font>
      <sz val="12"/>
      <name val="Calibri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lightUp"/>
    </fill>
    <fill>
      <patternFill patternType="solid">
        <fgColor indexed="65"/>
        <bgColor indexed="64"/>
      </patternFill>
    </fill>
    <fill>
      <patternFill patternType="lightUp">
        <bgColor rgb="FFC6EFCE"/>
      </patternFill>
    </fill>
    <fill>
      <patternFill patternType="solid">
        <fgColor rgb="FFC6EFCE"/>
        <bgColor rgb="FF000000"/>
      </patternFill>
    </fill>
    <fill>
      <patternFill patternType="solid">
        <fgColor rgb="FFFFEB9C"/>
      </patternFill>
    </fill>
    <fill>
      <patternFill patternType="solid">
        <fgColor rgb="FFFFEB9C"/>
        <bgColor rgb="FF000000"/>
      </patternFill>
    </fill>
    <fill>
      <patternFill patternType="solid">
        <fgColor rgb="FFFFC7CE"/>
      </patternFill>
    </fill>
    <fill>
      <patternFill patternType="lightUp">
        <fgColor rgb="FF000000"/>
        <bgColor rgb="FFC6EFCE"/>
      </patternFill>
    </fill>
    <fill>
      <patternFill patternType="lightUp">
        <bgColor rgb="FFFFEB9C"/>
      </patternFill>
    </fill>
    <fill>
      <patternFill patternType="lightUp">
        <fgColor rgb="FF000000"/>
        <bgColor rgb="FFFFEB9C"/>
      </patternFill>
    </fill>
    <fill>
      <patternFill patternType="solid">
        <fgColor rgb="FFFFEB9C"/>
        <bgColor indexed="64"/>
      </patternFill>
    </fill>
  </fills>
  <borders count="4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86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5" fillId="7" borderId="0" applyNumberFormat="0" applyBorder="0" applyAlignment="0" applyProtection="0"/>
    <xf numFmtId="0" fontId="10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9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3" fillId="9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68">
    <xf numFmtId="0" fontId="0" fillId="0" borderId="0" xfId="0"/>
    <xf numFmtId="0" fontId="1" fillId="0" borderId="0" xfId="0" applyFont="1"/>
    <xf numFmtId="0" fontId="0" fillId="0" borderId="0" xfId="0" applyFill="1"/>
    <xf numFmtId="0" fontId="0" fillId="0" borderId="0" xfId="0" applyFont="1" applyFill="1" applyProtection="1"/>
    <xf numFmtId="0" fontId="1" fillId="0" borderId="0" xfId="0" applyFont="1" applyFill="1" applyAlignment="1"/>
    <xf numFmtId="0" fontId="0" fillId="0" borderId="1" xfId="0" applyFill="1" applyBorder="1"/>
    <xf numFmtId="0" fontId="0" fillId="3" borderId="0" xfId="0" applyFill="1" applyBorder="1"/>
    <xf numFmtId="0" fontId="0" fillId="0" borderId="5" xfId="0" applyFont="1" applyFill="1" applyBorder="1" applyProtection="1"/>
    <xf numFmtId="0" fontId="0" fillId="3" borderId="9" xfId="0" applyFill="1" applyBorder="1"/>
    <xf numFmtId="0" fontId="0" fillId="3" borderId="10" xfId="0" applyFont="1" applyFill="1" applyBorder="1" applyProtection="1"/>
    <xf numFmtId="0" fontId="0" fillId="4" borderId="5" xfId="0" applyFont="1" applyFill="1" applyBorder="1" applyProtection="1"/>
    <xf numFmtId="0" fontId="0" fillId="0" borderId="6" xfId="0" applyBorder="1"/>
    <xf numFmtId="0" fontId="0" fillId="0" borderId="11" xfId="0" applyFont="1" applyFill="1" applyBorder="1" applyProtection="1"/>
    <xf numFmtId="0" fontId="0" fillId="0" borderId="0" xfId="0" applyAlignment="1">
      <alignment horizontal="center"/>
    </xf>
    <xf numFmtId="0" fontId="0" fillId="0" borderId="6" xfId="0" applyFill="1" applyBorder="1" applyProtection="1">
      <protection locked="0"/>
    </xf>
    <xf numFmtId="0" fontId="5" fillId="4" borderId="1" xfId="0" applyFont="1" applyFill="1" applyBorder="1" applyProtection="1">
      <protection locked="0"/>
    </xf>
    <xf numFmtId="0" fontId="5" fillId="4" borderId="2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0" borderId="6" xfId="0" applyBorder="1" applyProtection="1">
      <protection locked="0"/>
    </xf>
    <xf numFmtId="0" fontId="9" fillId="0" borderId="0" xfId="0" applyFont="1"/>
    <xf numFmtId="0" fontId="0" fillId="0" borderId="1" xfId="0" applyBorder="1"/>
    <xf numFmtId="0" fontId="0" fillId="0" borderId="5" xfId="0" applyBorder="1"/>
    <xf numFmtId="0" fontId="0" fillId="0" borderId="7" xfId="0" applyBorder="1"/>
    <xf numFmtId="0" fontId="0" fillId="0" borderId="0" xfId="0" applyProtection="1"/>
    <xf numFmtId="0" fontId="4" fillId="2" borderId="5" xfId="3" applyBorder="1" applyProtection="1"/>
    <xf numFmtId="0" fontId="4" fillId="5" borderId="19" xfId="3" applyFill="1" applyBorder="1" applyProtection="1"/>
    <xf numFmtId="0" fontId="4" fillId="5" borderId="20" xfId="3" applyFill="1" applyBorder="1" applyProtection="1"/>
    <xf numFmtId="0" fontId="4" fillId="5" borderId="22" xfId="3" applyFill="1" applyBorder="1" applyProtection="1"/>
    <xf numFmtId="0" fontId="4" fillId="2" borderId="1" xfId="3" applyBorder="1" applyProtection="1">
      <protection locked="0"/>
    </xf>
    <xf numFmtId="0" fontId="4" fillId="2" borderId="6" xfId="3" applyBorder="1" applyProtection="1">
      <protection locked="0"/>
    </xf>
    <xf numFmtId="0" fontId="4" fillId="2" borderId="18" xfId="3" applyBorder="1" applyProtection="1">
      <protection locked="0"/>
    </xf>
    <xf numFmtId="0" fontId="0" fillId="0" borderId="18" xfId="0" applyFill="1" applyBorder="1" applyProtection="1">
      <protection locked="0"/>
    </xf>
    <xf numFmtId="0" fontId="0" fillId="0" borderId="8" xfId="0" applyBorder="1" applyProtection="1">
      <protection locked="0"/>
    </xf>
    <xf numFmtId="0" fontId="6" fillId="2" borderId="23" xfId="3" applyFont="1" applyBorder="1" applyProtection="1"/>
    <xf numFmtId="0" fontId="7" fillId="2" borderId="24" xfId="3" applyFont="1" applyBorder="1" applyProtection="1">
      <protection locked="0"/>
    </xf>
    <xf numFmtId="0" fontId="4" fillId="2" borderId="24" xfId="3" applyBorder="1" applyProtection="1">
      <protection locked="0"/>
    </xf>
    <xf numFmtId="0" fontId="6" fillId="2" borderId="23" xfId="3" applyFont="1" applyBorder="1"/>
    <xf numFmtId="0" fontId="11" fillId="0" borderId="0" xfId="0" applyFont="1"/>
    <xf numFmtId="0" fontId="9" fillId="0" borderId="5" xfId="0" applyFont="1" applyBorder="1"/>
    <xf numFmtId="0" fontId="9" fillId="0" borderId="7" xfId="0" applyFont="1" applyBorder="1"/>
    <xf numFmtId="0" fontId="0" fillId="0" borderId="0" xfId="0" applyFont="1"/>
    <xf numFmtId="0" fontId="0" fillId="3" borderId="25" xfId="0" applyFill="1" applyBorder="1"/>
    <xf numFmtId="0" fontId="0" fillId="3" borderId="26" xfId="0" applyFill="1" applyBorder="1"/>
    <xf numFmtId="0" fontId="0" fillId="3" borderId="27" xfId="0" applyFill="1" applyBorder="1"/>
    <xf numFmtId="0" fontId="0" fillId="3" borderId="28" xfId="0" applyFill="1" applyBorder="1"/>
    <xf numFmtId="0" fontId="10" fillId="0" borderId="6" xfId="0" applyFont="1" applyBorder="1" applyProtection="1">
      <protection locked="0"/>
    </xf>
    <xf numFmtId="0" fontId="9" fillId="0" borderId="6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9" fillId="0" borderId="1" xfId="0" applyFont="1" applyBorder="1" applyProtection="1">
      <protection locked="0"/>
    </xf>
    <xf numFmtId="0" fontId="9" fillId="0" borderId="18" xfId="0" applyFont="1" applyBorder="1" applyProtection="1">
      <protection locked="0"/>
    </xf>
    <xf numFmtId="0" fontId="0" fillId="0" borderId="18" xfId="0" applyBorder="1" applyProtection="1">
      <protection locked="0"/>
    </xf>
    <xf numFmtId="0" fontId="4" fillId="2" borderId="5" xfId="3" applyBorder="1"/>
    <xf numFmtId="0" fontId="4" fillId="2" borderId="6" xfId="3" applyBorder="1"/>
    <xf numFmtId="0" fontId="4" fillId="2" borderId="7" xfId="3" applyBorder="1"/>
    <xf numFmtId="0" fontId="4" fillId="2" borderId="11" xfId="3" applyBorder="1"/>
    <xf numFmtId="0" fontId="4" fillId="2" borderId="1" xfId="3" applyBorder="1"/>
    <xf numFmtId="0" fontId="5" fillId="0" borderId="0" xfId="0" applyFont="1"/>
    <xf numFmtId="0" fontId="4" fillId="2" borderId="3" xfId="3" applyBorder="1"/>
    <xf numFmtId="0" fontId="4" fillId="2" borderId="15" xfId="3" applyBorder="1"/>
    <xf numFmtId="0" fontId="0" fillId="0" borderId="34" xfId="0" applyBorder="1" applyAlignment="1">
      <alignment horizontal="left" vertical="center"/>
    </xf>
    <xf numFmtId="0" fontId="0" fillId="0" borderId="34" xfId="0" applyBorder="1"/>
    <xf numFmtId="0" fontId="4" fillId="5" borderId="32" xfId="3" applyFill="1" applyBorder="1"/>
    <xf numFmtId="0" fontId="4" fillId="5" borderId="20" xfId="3" applyFill="1" applyBorder="1"/>
    <xf numFmtId="0" fontId="4" fillId="5" borderId="21" xfId="3" applyFill="1" applyBorder="1"/>
    <xf numFmtId="0" fontId="4" fillId="2" borderId="8" xfId="3" applyBorder="1" applyProtection="1">
      <protection locked="0"/>
    </xf>
    <xf numFmtId="0" fontId="6" fillId="2" borderId="33" xfId="3" applyFont="1" applyBorder="1"/>
    <xf numFmtId="0" fontId="4" fillId="2" borderId="6" xfId="3" applyFont="1" applyBorder="1" applyProtection="1">
      <protection locked="0"/>
    </xf>
    <xf numFmtId="0" fontId="4" fillId="2" borderId="8" xfId="3" applyFont="1" applyBorder="1" applyProtection="1">
      <protection locked="0"/>
    </xf>
    <xf numFmtId="0" fontId="4" fillId="2" borderId="5" xfId="3" applyBorder="1" applyProtection="1">
      <protection locked="0"/>
    </xf>
    <xf numFmtId="0" fontId="4" fillId="2" borderId="17" xfId="3" applyBorder="1" applyProtection="1">
      <protection locked="0"/>
    </xf>
    <xf numFmtId="0" fontId="4" fillId="2" borderId="11" xfId="3" applyBorder="1" applyProtection="1">
      <protection locked="0"/>
    </xf>
    <xf numFmtId="0" fontId="4" fillId="2" borderId="2" xfId="3" applyBorder="1" applyProtection="1">
      <protection locked="0"/>
    </xf>
    <xf numFmtId="0" fontId="4" fillId="2" borderId="21" xfId="3" applyBorder="1" applyProtection="1">
      <protection locked="0"/>
    </xf>
    <xf numFmtId="0" fontId="4" fillId="2" borderId="7" xfId="3" applyBorder="1" applyProtection="1">
      <protection locked="0"/>
    </xf>
    <xf numFmtId="0" fontId="4" fillId="2" borderId="4" xfId="3" applyBorder="1" applyProtection="1">
      <protection locked="0"/>
    </xf>
    <xf numFmtId="0" fontId="4" fillId="2" borderId="19" xfId="3" applyBorder="1" applyProtection="1">
      <protection locked="0"/>
    </xf>
    <xf numFmtId="0" fontId="0" fillId="0" borderId="0" xfId="0" applyProtection="1">
      <protection locked="0"/>
    </xf>
    <xf numFmtId="0" fontId="0" fillId="0" borderId="1" xfId="0" applyFont="1" applyBorder="1"/>
    <xf numFmtId="0" fontId="0" fillId="3" borderId="36" xfId="0" applyFill="1" applyBorder="1"/>
    <xf numFmtId="0" fontId="4" fillId="6" borderId="11" xfId="0" applyFont="1" applyFill="1" applyBorder="1"/>
    <xf numFmtId="0" fontId="4" fillId="6" borderId="11" xfId="0" applyFont="1" applyFill="1" applyBorder="1" applyAlignment="1">
      <alignment wrapText="1"/>
    </xf>
    <xf numFmtId="0" fontId="4" fillId="2" borderId="7" xfId="3" applyBorder="1" applyAlignment="1">
      <alignment wrapText="1"/>
    </xf>
    <xf numFmtId="0" fontId="4" fillId="2" borderId="8" xfId="3" applyBorder="1"/>
    <xf numFmtId="0" fontId="13" fillId="0" borderId="0" xfId="0" applyFont="1"/>
    <xf numFmtId="0" fontId="4" fillId="2" borderId="4" xfId="3" applyBorder="1"/>
    <xf numFmtId="0" fontId="0" fillId="4" borderId="1" xfId="0" applyFill="1" applyBorder="1"/>
    <xf numFmtId="0" fontId="6" fillId="2" borderId="37" xfId="3" applyFont="1" applyBorder="1" applyAlignment="1">
      <alignment horizontal="center" vertical="center" wrapText="1"/>
    </xf>
    <xf numFmtId="0" fontId="6" fillId="2" borderId="37" xfId="3" applyFont="1" applyBorder="1" applyAlignment="1">
      <alignment horizontal="center" vertical="center"/>
    </xf>
    <xf numFmtId="0" fontId="16" fillId="0" borderId="0" xfId="449" applyFont="1" applyFill="1"/>
    <xf numFmtId="0" fontId="17" fillId="0" borderId="0" xfId="0" applyFont="1"/>
    <xf numFmtId="0" fontId="16" fillId="0" borderId="0" xfId="0" applyFont="1" applyProtection="1"/>
    <xf numFmtId="0" fontId="5" fillId="0" borderId="0" xfId="0" applyFont="1" applyFill="1"/>
    <xf numFmtId="0" fontId="9" fillId="0" borderId="0" xfId="0" applyFont="1" applyFill="1"/>
    <xf numFmtId="0" fontId="11" fillId="0" borderId="0" xfId="0" applyFont="1" applyFill="1"/>
    <xf numFmtId="49" fontId="0" fillId="0" borderId="0" xfId="0" applyNumberFormat="1"/>
    <xf numFmtId="0" fontId="6" fillId="6" borderId="12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/>
    </xf>
    <xf numFmtId="0" fontId="4" fillId="6" borderId="28" xfId="0" applyFont="1" applyFill="1" applyBorder="1" applyProtection="1">
      <protection locked="0"/>
    </xf>
    <xf numFmtId="0" fontId="16" fillId="0" borderId="0" xfId="0" applyFont="1"/>
    <xf numFmtId="0" fontId="15" fillId="8" borderId="11" xfId="0" applyFont="1" applyFill="1" applyBorder="1"/>
    <xf numFmtId="0" fontId="15" fillId="8" borderId="28" xfId="0" applyFont="1" applyFill="1" applyBorder="1"/>
    <xf numFmtId="0" fontId="15" fillId="8" borderId="11" xfId="0" applyFont="1" applyFill="1" applyBorder="1" applyAlignment="1">
      <alignment horizontal="left" vertical="center"/>
    </xf>
    <xf numFmtId="0" fontId="15" fillId="8" borderId="28" xfId="0" applyFont="1" applyFill="1" applyBorder="1" applyProtection="1">
      <protection locked="0"/>
    </xf>
    <xf numFmtId="0" fontId="15" fillId="8" borderId="35" xfId="0" applyFont="1" applyFill="1" applyBorder="1"/>
    <xf numFmtId="0" fontId="15" fillId="8" borderId="38" xfId="0" applyFont="1" applyFill="1" applyBorder="1" applyProtection="1">
      <protection locked="0"/>
    </xf>
    <xf numFmtId="0" fontId="15" fillId="8" borderId="35" xfId="0" applyFont="1" applyFill="1" applyBorder="1" applyAlignment="1">
      <alignment horizontal="left" vertical="center"/>
    </xf>
    <xf numFmtId="0" fontId="17" fillId="0" borderId="0" xfId="0" applyFont="1" applyFill="1"/>
    <xf numFmtId="0" fontId="15" fillId="8" borderId="5" xfId="0" applyFont="1" applyFill="1" applyBorder="1"/>
    <xf numFmtId="0" fontId="15" fillId="8" borderId="6" xfId="0" applyFont="1" applyFill="1" applyBorder="1" applyProtection="1">
      <protection locked="0"/>
    </xf>
    <xf numFmtId="0" fontId="15" fillId="7" borderId="7" xfId="448" applyBorder="1"/>
    <xf numFmtId="0" fontId="15" fillId="7" borderId="8" xfId="448" applyBorder="1" applyProtection="1">
      <protection locked="0"/>
    </xf>
    <xf numFmtId="0" fontId="6" fillId="6" borderId="39" xfId="0" applyFont="1" applyFill="1" applyBorder="1"/>
    <xf numFmtId="0" fontId="6" fillId="6" borderId="35" xfId="0" applyFont="1" applyFill="1" applyBorder="1"/>
    <xf numFmtId="0" fontId="6" fillId="6" borderId="40" xfId="0" applyFont="1" applyFill="1" applyBorder="1"/>
    <xf numFmtId="0" fontId="18" fillId="7" borderId="41" xfId="448" applyFont="1" applyBorder="1"/>
    <xf numFmtId="0" fontId="4" fillId="6" borderId="42" xfId="0" applyFont="1" applyFill="1" applyBorder="1" applyProtection="1">
      <protection locked="0"/>
    </xf>
    <xf numFmtId="0" fontId="18" fillId="8" borderId="39" xfId="0" applyFont="1" applyFill="1" applyBorder="1"/>
    <xf numFmtId="0" fontId="15" fillId="8" borderId="40" xfId="0" applyFont="1" applyFill="1" applyBorder="1"/>
    <xf numFmtId="0" fontId="15" fillId="8" borderId="41" xfId="0" applyFont="1" applyFill="1" applyBorder="1"/>
    <xf numFmtId="0" fontId="4" fillId="6" borderId="11" xfId="0" applyFont="1" applyFill="1" applyBorder="1" applyProtection="1">
      <protection locked="0"/>
    </xf>
    <xf numFmtId="0" fontId="4" fillId="6" borderId="35" xfId="0" applyFont="1" applyFill="1" applyBorder="1" applyProtection="1">
      <protection locked="0"/>
    </xf>
    <xf numFmtId="0" fontId="4" fillId="6" borderId="31" xfId="0" applyFont="1" applyFill="1" applyBorder="1" applyProtection="1">
      <protection locked="0"/>
    </xf>
    <xf numFmtId="0" fontId="4" fillId="6" borderId="3" xfId="0" applyFont="1" applyFill="1" applyBorder="1" applyProtection="1">
      <protection locked="0"/>
    </xf>
    <xf numFmtId="0" fontId="4" fillId="6" borderId="17" xfId="0" applyFont="1" applyFill="1" applyBorder="1" applyProtection="1">
      <protection locked="0"/>
    </xf>
    <xf numFmtId="0" fontId="15" fillId="7" borderId="4" xfId="448" applyBorder="1"/>
    <xf numFmtId="0" fontId="4" fillId="6" borderId="5" xfId="0" applyFont="1" applyFill="1" applyBorder="1" applyProtection="1">
      <protection locked="0"/>
    </xf>
    <xf numFmtId="0" fontId="4" fillId="6" borderId="1" xfId="0" applyFont="1" applyFill="1" applyBorder="1" applyProtection="1">
      <protection locked="0"/>
    </xf>
    <xf numFmtId="0" fontId="15" fillId="7" borderId="6" xfId="448" applyBorder="1"/>
    <xf numFmtId="0" fontId="4" fillId="6" borderId="7" xfId="0" applyFont="1" applyFill="1" applyBorder="1" applyProtection="1">
      <protection locked="0"/>
    </xf>
    <xf numFmtId="0" fontId="4" fillId="6" borderId="18" xfId="0" applyFont="1" applyFill="1" applyBorder="1" applyProtection="1">
      <protection locked="0"/>
    </xf>
    <xf numFmtId="0" fontId="15" fillId="7" borderId="8" xfId="448" applyBorder="1"/>
    <xf numFmtId="0" fontId="10" fillId="0" borderId="0" xfId="0" applyFont="1"/>
    <xf numFmtId="0" fontId="15" fillId="7" borderId="3" xfId="448" applyBorder="1"/>
    <xf numFmtId="0" fontId="15" fillId="7" borderId="17" xfId="448" applyBorder="1"/>
    <xf numFmtId="0" fontId="15" fillId="7" borderId="5" xfId="448" applyBorder="1" applyProtection="1">
      <protection locked="0"/>
    </xf>
    <xf numFmtId="0" fontId="15" fillId="7" borderId="1" xfId="448" applyBorder="1" applyProtection="1">
      <protection locked="0"/>
    </xf>
    <xf numFmtId="0" fontId="15" fillId="7" borderId="7" xfId="448" applyBorder="1" applyProtection="1">
      <protection locked="0"/>
    </xf>
    <xf numFmtId="0" fontId="15" fillId="7" borderId="18" xfId="448" applyBorder="1" applyProtection="1">
      <protection locked="0"/>
    </xf>
    <xf numFmtId="0" fontId="15" fillId="7" borderId="11" xfId="448" applyBorder="1" applyProtection="1">
      <protection locked="0"/>
    </xf>
    <xf numFmtId="0" fontId="15" fillId="7" borderId="2" xfId="448" applyBorder="1" applyProtection="1">
      <protection locked="0"/>
    </xf>
    <xf numFmtId="0" fontId="15" fillId="7" borderId="21" xfId="448" applyBorder="1"/>
    <xf numFmtId="0" fontId="18" fillId="7" borderId="23" xfId="448" applyFont="1" applyBorder="1"/>
    <xf numFmtId="0" fontId="18" fillId="7" borderId="33" xfId="448" applyFont="1" applyBorder="1"/>
    <xf numFmtId="0" fontId="18" fillId="7" borderId="24" xfId="448" applyFont="1" applyBorder="1"/>
    <xf numFmtId="0" fontId="4" fillId="2" borderId="42" xfId="3" applyBorder="1" applyProtection="1">
      <protection locked="0"/>
    </xf>
    <xf numFmtId="0" fontId="4" fillId="2" borderId="17" xfId="3" applyBorder="1"/>
    <xf numFmtId="0" fontId="15" fillId="7" borderId="5" xfId="448" applyBorder="1"/>
    <xf numFmtId="0" fontId="15" fillId="7" borderId="1" xfId="448" applyBorder="1"/>
    <xf numFmtId="0" fontId="15" fillId="7" borderId="6" xfId="448" applyBorder="1" applyProtection="1">
      <protection locked="0"/>
    </xf>
    <xf numFmtId="0" fontId="15" fillId="7" borderId="17" xfId="448" applyBorder="1" applyProtection="1">
      <protection locked="0"/>
    </xf>
    <xf numFmtId="0" fontId="15" fillId="7" borderId="4" xfId="448" applyBorder="1" applyProtection="1">
      <protection locked="0"/>
    </xf>
    <xf numFmtId="0" fontId="18" fillId="8" borderId="35" xfId="0" applyFont="1" applyFill="1" applyBorder="1"/>
    <xf numFmtId="0" fontId="18" fillId="8" borderId="40" xfId="0" applyFont="1" applyFill="1" applyBorder="1"/>
    <xf numFmtId="0" fontId="18" fillId="8" borderId="41" xfId="0" applyFont="1" applyFill="1" applyBorder="1"/>
    <xf numFmtId="0" fontId="6" fillId="2" borderId="43" xfId="3" applyFont="1" applyBorder="1" applyAlignment="1">
      <alignment horizontal="center" vertical="center"/>
    </xf>
    <xf numFmtId="0" fontId="0" fillId="0" borderId="2" xfId="0" applyBorder="1" applyProtection="1">
      <protection locked="0"/>
    </xf>
    <xf numFmtId="0" fontId="20" fillId="2" borderId="35" xfId="3" applyFont="1" applyBorder="1" applyAlignment="1">
      <alignment horizontal="center" vertical="center"/>
    </xf>
    <xf numFmtId="0" fontId="20" fillId="2" borderId="44" xfId="3" applyFont="1" applyBorder="1" applyAlignment="1">
      <alignment horizontal="center" vertical="center"/>
    </xf>
    <xf numFmtId="0" fontId="6" fillId="2" borderId="18" xfId="3" applyFont="1" applyBorder="1"/>
    <xf numFmtId="0" fontId="22" fillId="2" borderId="44" xfId="3" applyFont="1" applyBorder="1" applyAlignment="1">
      <alignment horizontal="center" vertical="center"/>
    </xf>
    <xf numFmtId="0" fontId="20" fillId="2" borderId="44" xfId="3" applyFont="1" applyBorder="1" applyAlignment="1">
      <alignment horizontal="left" vertical="center" wrapText="1"/>
    </xf>
    <xf numFmtId="0" fontId="22" fillId="2" borderId="44" xfId="3" applyFont="1" applyBorder="1" applyAlignment="1">
      <alignment horizontal="center" vertical="center" wrapText="1"/>
    </xf>
    <xf numFmtId="0" fontId="1" fillId="0" borderId="0" xfId="0" applyFont="1" applyProtection="1"/>
    <xf numFmtId="0" fontId="15" fillId="8" borderId="5" xfId="0" applyFont="1" applyFill="1" applyBorder="1" applyAlignment="1">
      <alignment horizontal="left" vertical="center"/>
    </xf>
    <xf numFmtId="0" fontId="19" fillId="0" borderId="0" xfId="458"/>
    <xf numFmtId="164" fontId="4" fillId="2" borderId="6" xfId="3" applyNumberFormat="1" applyBorder="1" applyProtection="1">
      <protection locked="0"/>
    </xf>
    <xf numFmtId="14" fontId="0" fillId="0" borderId="0" xfId="0" applyNumberFormat="1"/>
    <xf numFmtId="0" fontId="1" fillId="0" borderId="12" xfId="0" applyFont="1" applyFill="1" applyBorder="1" applyAlignment="1" applyProtection="1">
      <alignment horizontal="left"/>
      <protection locked="0"/>
    </xf>
    <xf numFmtId="0" fontId="1" fillId="0" borderId="13" xfId="0" applyFont="1" applyFill="1" applyBorder="1" applyAlignment="1" applyProtection="1">
      <alignment horizontal="left"/>
      <protection locked="0"/>
    </xf>
    <xf numFmtId="0" fontId="1" fillId="0" borderId="14" xfId="0" applyFont="1" applyFill="1" applyBorder="1" applyAlignment="1" applyProtection="1">
      <alignment horizontal="left"/>
      <protection locked="0"/>
    </xf>
    <xf numFmtId="0" fontId="4" fillId="2" borderId="15" xfId="3" applyBorder="1" applyProtection="1"/>
    <xf numFmtId="0" fontId="4" fillId="2" borderId="45" xfId="3" applyBorder="1" applyProtection="1">
      <protection locked="0"/>
    </xf>
    <xf numFmtId="0" fontId="23" fillId="9" borderId="1" xfId="577" applyBorder="1"/>
    <xf numFmtId="0" fontId="23" fillId="9" borderId="5" xfId="577" applyBorder="1"/>
    <xf numFmtId="0" fontId="20" fillId="0" borderId="0" xfId="449" applyFont="1" applyFill="1"/>
    <xf numFmtId="0" fontId="20" fillId="0" borderId="0" xfId="0" applyFont="1"/>
    <xf numFmtId="0" fontId="23" fillId="9" borderId="11" xfId="577" applyBorder="1"/>
    <xf numFmtId="0" fontId="23" fillId="9" borderId="28" xfId="577" applyBorder="1" applyProtection="1">
      <protection locked="0"/>
    </xf>
    <xf numFmtId="0" fontId="23" fillId="9" borderId="35" xfId="577" applyBorder="1"/>
    <xf numFmtId="0" fontId="23" fillId="9" borderId="38" xfId="577" applyBorder="1" applyProtection="1">
      <protection locked="0"/>
    </xf>
    <xf numFmtId="0" fontId="6" fillId="10" borderId="40" xfId="0" applyFont="1" applyFill="1" applyBorder="1"/>
    <xf numFmtId="0" fontId="4" fillId="10" borderId="17" xfId="0" applyFont="1" applyFill="1" applyBorder="1" applyProtection="1">
      <protection locked="0"/>
    </xf>
    <xf numFmtId="0" fontId="4" fillId="10" borderId="1" xfId="0" applyFont="1" applyFill="1" applyBorder="1" applyProtection="1">
      <protection locked="0"/>
    </xf>
    <xf numFmtId="0" fontId="4" fillId="10" borderId="18" xfId="0" applyFont="1" applyFill="1" applyBorder="1" applyProtection="1">
      <protection locked="0"/>
    </xf>
    <xf numFmtId="0" fontId="18" fillId="11" borderId="33" xfId="448" applyFont="1" applyFill="1" applyBorder="1"/>
    <xf numFmtId="0" fontId="15" fillId="11" borderId="2" xfId="448" applyFill="1" applyBorder="1" applyProtection="1">
      <protection locked="0"/>
    </xf>
    <xf numFmtId="0" fontId="15" fillId="11" borderId="1" xfId="448" applyFill="1" applyBorder="1" applyProtection="1">
      <protection locked="0"/>
    </xf>
    <xf numFmtId="0" fontId="15" fillId="11" borderId="18" xfId="448" applyFill="1" applyBorder="1" applyProtection="1">
      <protection locked="0"/>
    </xf>
    <xf numFmtId="0" fontId="6" fillId="10" borderId="41" xfId="0" applyFont="1" applyFill="1" applyBorder="1"/>
    <xf numFmtId="0" fontId="4" fillId="10" borderId="4" xfId="3" applyFill="1" applyBorder="1" applyProtection="1">
      <protection locked="0"/>
    </xf>
    <xf numFmtId="0" fontId="4" fillId="10" borderId="6" xfId="3" applyFill="1" applyBorder="1" applyProtection="1">
      <protection locked="0"/>
    </xf>
    <xf numFmtId="0" fontId="4" fillId="10" borderId="28" xfId="0" applyFont="1" applyFill="1" applyBorder="1" applyProtection="1">
      <protection locked="0"/>
    </xf>
    <xf numFmtId="0" fontId="4" fillId="10" borderId="38" xfId="0" applyFont="1" applyFill="1" applyBorder="1" applyProtection="1">
      <protection locked="0"/>
    </xf>
    <xf numFmtId="0" fontId="18" fillId="12" borderId="40" xfId="0" applyFont="1" applyFill="1" applyBorder="1"/>
    <xf numFmtId="0" fontId="15" fillId="12" borderId="17" xfId="448" applyFill="1" applyBorder="1" applyProtection="1">
      <protection locked="0"/>
    </xf>
    <xf numFmtId="0" fontId="15" fillId="12" borderId="1" xfId="448" applyFill="1" applyBorder="1" applyProtection="1">
      <protection locked="0"/>
    </xf>
    <xf numFmtId="0" fontId="15" fillId="12" borderId="18" xfId="448" applyFill="1" applyBorder="1" applyProtection="1">
      <protection locked="0"/>
    </xf>
    <xf numFmtId="0" fontId="18" fillId="13" borderId="33" xfId="448" applyFont="1" applyFill="1" applyBorder="1"/>
    <xf numFmtId="0" fontId="15" fillId="13" borderId="2" xfId="448" applyFill="1" applyBorder="1" applyProtection="1">
      <protection locked="0"/>
    </xf>
    <xf numFmtId="0" fontId="15" fillId="13" borderId="1" xfId="448" applyFill="1" applyBorder="1" applyProtection="1">
      <protection locked="0"/>
    </xf>
    <xf numFmtId="0" fontId="15" fillId="13" borderId="18" xfId="448" applyFill="1" applyBorder="1" applyProtection="1">
      <protection locked="0"/>
    </xf>
    <xf numFmtId="0" fontId="4" fillId="2" borderId="7" xfId="3" applyBorder="1" applyAlignment="1" applyProtection="1">
      <alignment vertical="center"/>
    </xf>
    <xf numFmtId="0" fontId="4" fillId="2" borderId="18" xfId="3" applyBorder="1" applyProtection="1"/>
    <xf numFmtId="0" fontId="0" fillId="0" borderId="0" xfId="0" applyFont="1" applyProtection="1"/>
    <xf numFmtId="0" fontId="15" fillId="8" borderId="7" xfId="0" applyFont="1" applyFill="1" applyBorder="1"/>
    <xf numFmtId="0" fontId="15" fillId="8" borderId="8" xfId="0" applyFont="1" applyFill="1" applyBorder="1" applyProtection="1">
      <protection locked="0"/>
    </xf>
    <xf numFmtId="0" fontId="15" fillId="7" borderId="14" xfId="448" applyBorder="1" applyAlignment="1">
      <alignment horizontal="left"/>
    </xf>
    <xf numFmtId="0" fontId="18" fillId="7" borderId="12" xfId="448" applyFont="1" applyBorder="1" applyAlignment="1">
      <alignment horizontal="left"/>
    </xf>
    <xf numFmtId="0" fontId="0" fillId="0" borderId="7" xfId="0" applyFont="1" applyFill="1" applyBorder="1" applyProtection="1"/>
    <xf numFmtId="0" fontId="0" fillId="0" borderId="8" xfId="0" applyFill="1" applyBorder="1" applyProtection="1">
      <protection locked="0"/>
    </xf>
    <xf numFmtId="0" fontId="15" fillId="8" borderId="39" xfId="0" applyFont="1" applyFill="1" applyBorder="1" applyProtection="1">
      <protection locked="0"/>
    </xf>
    <xf numFmtId="0" fontId="6" fillId="2" borderId="12" xfId="3" applyFont="1" applyBorder="1" applyAlignment="1"/>
    <xf numFmtId="0" fontId="6" fillId="2" borderId="4" xfId="3" applyFont="1" applyBorder="1" applyAlignment="1"/>
    <xf numFmtId="0" fontId="6" fillId="2" borderId="17" xfId="3" applyFont="1" applyBorder="1" applyAlignment="1"/>
    <xf numFmtId="0" fontId="4" fillId="2" borderId="1" xfId="3" applyFont="1" applyBorder="1" applyProtection="1">
      <protection locked="0"/>
    </xf>
    <xf numFmtId="0" fontId="4" fillId="2" borderId="18" xfId="3" applyFont="1" applyBorder="1" applyProtection="1">
      <protection locked="0"/>
    </xf>
    <xf numFmtId="0" fontId="4" fillId="2" borderId="8" xfId="3" applyNumberFormat="1" applyBorder="1" applyProtection="1">
      <protection locked="0"/>
    </xf>
    <xf numFmtId="0" fontId="24" fillId="0" borderId="1" xfId="0" applyFont="1" applyBorder="1" applyProtection="1">
      <protection locked="0"/>
    </xf>
    <xf numFmtId="0" fontId="24" fillId="0" borderId="0" xfId="0" applyFont="1"/>
    <xf numFmtId="0" fontId="0" fillId="4" borderId="7" xfId="0" applyFont="1" applyFill="1" applyBorder="1" applyProtection="1"/>
    <xf numFmtId="0" fontId="0" fillId="4" borderId="18" xfId="0" applyFill="1" applyBorder="1" applyProtection="1">
      <protection locked="0"/>
    </xf>
    <xf numFmtId="0" fontId="0" fillId="3" borderId="46" xfId="0" applyFill="1" applyBorder="1"/>
    <xf numFmtId="0" fontId="0" fillId="3" borderId="38" xfId="0" applyFill="1" applyBorder="1"/>
    <xf numFmtId="0" fontId="1" fillId="0" borderId="47" xfId="0" applyFont="1" applyFill="1" applyBorder="1" applyAlignment="1" applyProtection="1">
      <alignment horizontal="left"/>
      <protection locked="0"/>
    </xf>
    <xf numFmtId="0" fontId="1" fillId="0" borderId="4" xfId="0" applyFont="1" applyFill="1" applyBorder="1" applyAlignment="1" applyProtection="1">
      <alignment horizontal="left"/>
      <protection locked="0"/>
    </xf>
    <xf numFmtId="0" fontId="0" fillId="3" borderId="30" xfId="0" applyFill="1" applyBorder="1"/>
    <xf numFmtId="0" fontId="0" fillId="3" borderId="20" xfId="0" applyFill="1" applyBorder="1"/>
    <xf numFmtId="0" fontId="0" fillId="3" borderId="42" xfId="0" applyFill="1" applyBorder="1"/>
    <xf numFmtId="0" fontId="0" fillId="3" borderId="21" xfId="0" applyFill="1" applyBorder="1"/>
    <xf numFmtId="0" fontId="0" fillId="4" borderId="6" xfId="0" applyFill="1" applyBorder="1"/>
    <xf numFmtId="0" fontId="0" fillId="4" borderId="6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1" fillId="0" borderId="1" xfId="0" applyFont="1" applyFill="1" applyBorder="1"/>
    <xf numFmtId="0" fontId="0" fillId="3" borderId="48" xfId="0" applyFill="1" applyBorder="1"/>
    <xf numFmtId="0" fontId="0" fillId="0" borderId="21" xfId="0" applyBorder="1"/>
    <xf numFmtId="0" fontId="1" fillId="0" borderId="33" xfId="0" applyFont="1" applyBorder="1"/>
    <xf numFmtId="0" fontId="1" fillId="0" borderId="24" xfId="0" applyFont="1" applyBorder="1"/>
    <xf numFmtId="0" fontId="0" fillId="0" borderId="21" xfId="0" applyBorder="1" applyProtection="1">
      <protection locked="0"/>
    </xf>
    <xf numFmtId="0" fontId="6" fillId="2" borderId="12" xfId="3" applyFont="1" applyBorder="1" applyAlignment="1" applyProtection="1">
      <alignment horizontal="left"/>
    </xf>
    <xf numFmtId="0" fontId="6" fillId="2" borderId="13" xfId="3" applyFont="1" applyBorder="1" applyAlignment="1" applyProtection="1">
      <alignment horizontal="left"/>
    </xf>
    <xf numFmtId="0" fontId="6" fillId="2" borderId="14" xfId="3" applyFont="1" applyBorder="1" applyAlignment="1" applyProtection="1">
      <alignment horizontal="left"/>
    </xf>
    <xf numFmtId="0" fontId="0" fillId="0" borderId="15" xfId="0" applyFont="1" applyFill="1" applyBorder="1" applyAlignment="1" applyProtection="1">
      <alignment horizontal="left" vertical="center"/>
    </xf>
    <xf numFmtId="0" fontId="0" fillId="0" borderId="16" xfId="0" applyFont="1" applyFill="1" applyBorder="1" applyAlignment="1" applyProtection="1">
      <alignment horizontal="left" vertical="center"/>
    </xf>
    <xf numFmtId="0" fontId="0" fillId="0" borderId="35" xfId="0" applyFont="1" applyFill="1" applyBorder="1" applyAlignment="1" applyProtection="1">
      <alignment horizontal="left" vertical="center"/>
    </xf>
    <xf numFmtId="0" fontId="1" fillId="0" borderId="12" xfId="0" applyFont="1" applyFill="1" applyBorder="1" applyAlignment="1" applyProtection="1">
      <alignment horizontal="left"/>
    </xf>
    <xf numFmtId="0" fontId="1" fillId="0" borderId="14" xfId="0" applyFont="1" applyFill="1" applyBorder="1" applyAlignment="1" applyProtection="1">
      <alignment horizontal="left"/>
    </xf>
    <xf numFmtId="0" fontId="1" fillId="0" borderId="12" xfId="0" applyFont="1" applyBorder="1" applyAlignment="1">
      <alignment horizontal="left"/>
    </xf>
    <xf numFmtId="0" fontId="1" fillId="0" borderId="14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6" fillId="2" borderId="12" xfId="3" applyFont="1" applyBorder="1" applyAlignment="1">
      <alignment horizontal="left"/>
    </xf>
    <xf numFmtId="0" fontId="6" fillId="2" borderId="14" xfId="3" applyFont="1" applyBorder="1" applyAlignment="1">
      <alignment horizontal="left"/>
    </xf>
    <xf numFmtId="0" fontId="6" fillId="6" borderId="17" xfId="0" applyFont="1" applyFill="1" applyBorder="1" applyAlignment="1">
      <alignment horizontal="center"/>
    </xf>
    <xf numFmtId="0" fontId="6" fillId="2" borderId="4" xfId="3" applyFont="1" applyBorder="1" applyAlignment="1">
      <alignment horizontal="center" vertical="center"/>
    </xf>
    <xf numFmtId="0" fontId="6" fillId="2" borderId="8" xfId="3" applyFont="1" applyBorder="1" applyAlignment="1">
      <alignment horizontal="center" vertical="center"/>
    </xf>
    <xf numFmtId="0" fontId="6" fillId="2" borderId="17" xfId="3" applyFont="1" applyBorder="1" applyAlignment="1">
      <alignment horizontal="center"/>
    </xf>
    <xf numFmtId="0" fontId="6" fillId="2" borderId="17" xfId="3" applyFont="1" applyBorder="1" applyAlignment="1">
      <alignment horizontal="center" vertical="center" wrapText="1"/>
    </xf>
    <xf numFmtId="0" fontId="6" fillId="2" borderId="18" xfId="3" applyFont="1" applyBorder="1" applyAlignment="1">
      <alignment horizontal="center" vertical="center"/>
    </xf>
    <xf numFmtId="0" fontId="6" fillId="2" borderId="37" xfId="3" applyFont="1" applyBorder="1" applyAlignment="1">
      <alignment horizontal="center" vertical="center"/>
    </xf>
    <xf numFmtId="0" fontId="6" fillId="2" borderId="44" xfId="3" applyFont="1" applyBorder="1" applyAlignment="1">
      <alignment horizontal="center" vertical="center"/>
    </xf>
    <xf numFmtId="0" fontId="4" fillId="2" borderId="5" xfId="3" applyBorder="1" applyAlignment="1">
      <alignment horizontal="left" vertical="center"/>
    </xf>
    <xf numFmtId="0" fontId="4" fillId="2" borderId="7" xfId="3" applyBorder="1" applyAlignment="1">
      <alignment horizontal="left" vertical="center"/>
    </xf>
    <xf numFmtId="0" fontId="18" fillId="8" borderId="12" xfId="0" applyFont="1" applyFill="1" applyBorder="1" applyAlignment="1">
      <alignment horizontal="left"/>
    </xf>
    <xf numFmtId="0" fontId="18" fillId="8" borderId="14" xfId="0" applyFont="1" applyFill="1" applyBorder="1" applyAlignment="1">
      <alignment horizontal="left"/>
    </xf>
  </cellXfs>
  <cellStyles count="864">
    <cellStyle name="Bad" xfId="577" builtinId="27"/>
    <cellStyle name="Followed Hyperlink" xfId="2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Good" xfId="3" builtinId="26"/>
    <cellStyle name="Hyperlink" xfId="1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Neutral" xfId="448" builtinId="28"/>
    <cellStyle name="Normal" xfId="0" builtinId="0"/>
    <cellStyle name="Normal 2" xfId="458"/>
    <cellStyle name="Warning Text" xfId="449" builtinId="11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22</xdr:row>
          <xdr:rowOff>25400</xdr:rowOff>
        </xdr:from>
        <xdr:to>
          <xdr:col>19</xdr:col>
          <xdr:colOff>12700</xdr:colOff>
          <xdr:row>23</xdr:row>
          <xdr:rowOff>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23</xdr:row>
          <xdr:rowOff>25400</xdr:rowOff>
        </xdr:from>
        <xdr:to>
          <xdr:col>19</xdr:col>
          <xdr:colOff>12700</xdr:colOff>
          <xdr:row>24</xdr:row>
          <xdr:rowOff>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24</xdr:row>
          <xdr:rowOff>25400</xdr:rowOff>
        </xdr:from>
        <xdr:to>
          <xdr:col>19</xdr:col>
          <xdr:colOff>12700</xdr:colOff>
          <xdr:row>25</xdr:row>
          <xdr:rowOff>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25</xdr:row>
          <xdr:rowOff>25400</xdr:rowOff>
        </xdr:from>
        <xdr:to>
          <xdr:col>19</xdr:col>
          <xdr:colOff>12700</xdr:colOff>
          <xdr:row>26</xdr:row>
          <xdr:rowOff>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26</xdr:row>
          <xdr:rowOff>25400</xdr:rowOff>
        </xdr:from>
        <xdr:to>
          <xdr:col>19</xdr:col>
          <xdr:colOff>12700</xdr:colOff>
          <xdr:row>27</xdr:row>
          <xdr:rowOff>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27</xdr:row>
          <xdr:rowOff>25400</xdr:rowOff>
        </xdr:from>
        <xdr:to>
          <xdr:col>19</xdr:col>
          <xdr:colOff>12700</xdr:colOff>
          <xdr:row>28</xdr:row>
          <xdr:rowOff>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28</xdr:row>
          <xdr:rowOff>25400</xdr:rowOff>
        </xdr:from>
        <xdr:to>
          <xdr:col>19</xdr:col>
          <xdr:colOff>12700</xdr:colOff>
          <xdr:row>29</xdr:row>
          <xdr:rowOff>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29</xdr:row>
          <xdr:rowOff>25400</xdr:rowOff>
        </xdr:from>
        <xdr:to>
          <xdr:col>19</xdr:col>
          <xdr:colOff>12700</xdr:colOff>
          <xdr:row>30</xdr:row>
          <xdr:rowOff>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30</xdr:row>
          <xdr:rowOff>25400</xdr:rowOff>
        </xdr:from>
        <xdr:to>
          <xdr:col>19</xdr:col>
          <xdr:colOff>12700</xdr:colOff>
          <xdr:row>31</xdr:row>
          <xdr:rowOff>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31</xdr:row>
          <xdr:rowOff>25400</xdr:rowOff>
        </xdr:from>
        <xdr:to>
          <xdr:col>19</xdr:col>
          <xdr:colOff>12700</xdr:colOff>
          <xdr:row>32</xdr:row>
          <xdr:rowOff>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32</xdr:row>
          <xdr:rowOff>25400</xdr:rowOff>
        </xdr:from>
        <xdr:to>
          <xdr:col>19</xdr:col>
          <xdr:colOff>12700</xdr:colOff>
          <xdr:row>33</xdr:row>
          <xdr:rowOff>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33</xdr:row>
          <xdr:rowOff>25400</xdr:rowOff>
        </xdr:from>
        <xdr:to>
          <xdr:col>19</xdr:col>
          <xdr:colOff>12700</xdr:colOff>
          <xdr:row>34</xdr:row>
          <xdr:rowOff>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34</xdr:row>
          <xdr:rowOff>25400</xdr:rowOff>
        </xdr:from>
        <xdr:to>
          <xdr:col>19</xdr:col>
          <xdr:colOff>12700</xdr:colOff>
          <xdr:row>35</xdr:row>
          <xdr:rowOff>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35</xdr:row>
          <xdr:rowOff>25400</xdr:rowOff>
        </xdr:from>
        <xdr:to>
          <xdr:col>19</xdr:col>
          <xdr:colOff>12700</xdr:colOff>
          <xdr:row>36</xdr:row>
          <xdr:rowOff>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36</xdr:row>
          <xdr:rowOff>25400</xdr:rowOff>
        </xdr:from>
        <xdr:to>
          <xdr:col>19</xdr:col>
          <xdr:colOff>12700</xdr:colOff>
          <xdr:row>37</xdr:row>
          <xdr:rowOff>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37</xdr:row>
          <xdr:rowOff>25400</xdr:rowOff>
        </xdr:from>
        <xdr:to>
          <xdr:col>19</xdr:col>
          <xdr:colOff>12700</xdr:colOff>
          <xdr:row>38</xdr:row>
          <xdr:rowOff>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38</xdr:row>
          <xdr:rowOff>25400</xdr:rowOff>
        </xdr:from>
        <xdr:to>
          <xdr:col>19</xdr:col>
          <xdr:colOff>12700</xdr:colOff>
          <xdr:row>39</xdr:row>
          <xdr:rowOff>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39</xdr:row>
          <xdr:rowOff>25400</xdr:rowOff>
        </xdr:from>
        <xdr:to>
          <xdr:col>19</xdr:col>
          <xdr:colOff>12700</xdr:colOff>
          <xdr:row>40</xdr:row>
          <xdr:rowOff>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40</xdr:row>
          <xdr:rowOff>25400</xdr:rowOff>
        </xdr:from>
        <xdr:to>
          <xdr:col>19</xdr:col>
          <xdr:colOff>12700</xdr:colOff>
          <xdr:row>41</xdr:row>
          <xdr:rowOff>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41</xdr:row>
          <xdr:rowOff>25400</xdr:rowOff>
        </xdr:from>
        <xdr:to>
          <xdr:col>19</xdr:col>
          <xdr:colOff>12700</xdr:colOff>
          <xdr:row>42</xdr:row>
          <xdr:rowOff>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42</xdr:row>
          <xdr:rowOff>25400</xdr:rowOff>
        </xdr:from>
        <xdr:to>
          <xdr:col>19</xdr:col>
          <xdr:colOff>12700</xdr:colOff>
          <xdr:row>43</xdr:row>
          <xdr:rowOff>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43</xdr:row>
          <xdr:rowOff>25400</xdr:rowOff>
        </xdr:from>
        <xdr:to>
          <xdr:col>19</xdr:col>
          <xdr:colOff>12700</xdr:colOff>
          <xdr:row>44</xdr:row>
          <xdr:rowOff>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44</xdr:row>
          <xdr:rowOff>25400</xdr:rowOff>
        </xdr:from>
        <xdr:to>
          <xdr:col>19</xdr:col>
          <xdr:colOff>12700</xdr:colOff>
          <xdr:row>45</xdr:row>
          <xdr:rowOff>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45</xdr:row>
          <xdr:rowOff>25400</xdr:rowOff>
        </xdr:from>
        <xdr:to>
          <xdr:col>19</xdr:col>
          <xdr:colOff>12700</xdr:colOff>
          <xdr:row>46</xdr:row>
          <xdr:rowOff>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46</xdr:row>
          <xdr:rowOff>25400</xdr:rowOff>
        </xdr:from>
        <xdr:to>
          <xdr:col>19</xdr:col>
          <xdr:colOff>12700</xdr:colOff>
          <xdr:row>47</xdr:row>
          <xdr:rowOff>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47</xdr:row>
          <xdr:rowOff>25400</xdr:rowOff>
        </xdr:from>
        <xdr:to>
          <xdr:col>19</xdr:col>
          <xdr:colOff>12700</xdr:colOff>
          <xdr:row>48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48</xdr:row>
          <xdr:rowOff>25400</xdr:rowOff>
        </xdr:from>
        <xdr:to>
          <xdr:col>19</xdr:col>
          <xdr:colOff>12700</xdr:colOff>
          <xdr:row>49</xdr:row>
          <xdr:rowOff>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49</xdr:row>
          <xdr:rowOff>25400</xdr:rowOff>
        </xdr:from>
        <xdr:to>
          <xdr:col>19</xdr:col>
          <xdr:colOff>12700</xdr:colOff>
          <xdr:row>50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50</xdr:row>
          <xdr:rowOff>25400</xdr:rowOff>
        </xdr:from>
        <xdr:to>
          <xdr:col>19</xdr:col>
          <xdr:colOff>12700</xdr:colOff>
          <xdr:row>51</xdr:row>
          <xdr:rowOff>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21</xdr:row>
          <xdr:rowOff>25400</xdr:rowOff>
        </xdr:from>
        <xdr:to>
          <xdr:col>19</xdr:col>
          <xdr:colOff>12700</xdr:colOff>
          <xdr:row>22</xdr:row>
          <xdr:rowOff>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22</xdr:row>
          <xdr:rowOff>25400</xdr:rowOff>
        </xdr:from>
        <xdr:to>
          <xdr:col>19</xdr:col>
          <xdr:colOff>12700</xdr:colOff>
          <xdr:row>23</xdr:row>
          <xdr:rowOff>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23</xdr:row>
          <xdr:rowOff>25400</xdr:rowOff>
        </xdr:from>
        <xdr:to>
          <xdr:col>19</xdr:col>
          <xdr:colOff>12700</xdr:colOff>
          <xdr:row>24</xdr:row>
          <xdr:rowOff>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24</xdr:row>
          <xdr:rowOff>25400</xdr:rowOff>
        </xdr:from>
        <xdr:to>
          <xdr:col>19</xdr:col>
          <xdr:colOff>12700</xdr:colOff>
          <xdr:row>25</xdr:row>
          <xdr:rowOff>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25</xdr:row>
          <xdr:rowOff>25400</xdr:rowOff>
        </xdr:from>
        <xdr:to>
          <xdr:col>19</xdr:col>
          <xdr:colOff>12700</xdr:colOff>
          <xdr:row>26</xdr:row>
          <xdr:rowOff>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26</xdr:row>
          <xdr:rowOff>25400</xdr:rowOff>
        </xdr:from>
        <xdr:to>
          <xdr:col>19</xdr:col>
          <xdr:colOff>12700</xdr:colOff>
          <xdr:row>27</xdr:row>
          <xdr:rowOff>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51</xdr:row>
          <xdr:rowOff>25400</xdr:rowOff>
        </xdr:from>
        <xdr:to>
          <xdr:col>19</xdr:col>
          <xdr:colOff>12700</xdr:colOff>
          <xdr:row>52</xdr:row>
          <xdr:rowOff>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52</xdr:row>
          <xdr:rowOff>25400</xdr:rowOff>
        </xdr:from>
        <xdr:to>
          <xdr:col>19</xdr:col>
          <xdr:colOff>12700</xdr:colOff>
          <xdr:row>53</xdr:row>
          <xdr:rowOff>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53</xdr:row>
          <xdr:rowOff>25400</xdr:rowOff>
        </xdr:from>
        <xdr:to>
          <xdr:col>19</xdr:col>
          <xdr:colOff>12700</xdr:colOff>
          <xdr:row>54</xdr:row>
          <xdr:rowOff>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54</xdr:row>
          <xdr:rowOff>25400</xdr:rowOff>
        </xdr:from>
        <xdr:to>
          <xdr:col>19</xdr:col>
          <xdr:colOff>12700</xdr:colOff>
          <xdr:row>55</xdr:row>
          <xdr:rowOff>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55</xdr:row>
          <xdr:rowOff>25400</xdr:rowOff>
        </xdr:from>
        <xdr:to>
          <xdr:col>19</xdr:col>
          <xdr:colOff>12700</xdr:colOff>
          <xdr:row>56</xdr:row>
          <xdr:rowOff>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56</xdr:row>
          <xdr:rowOff>25400</xdr:rowOff>
        </xdr:from>
        <xdr:to>
          <xdr:col>19</xdr:col>
          <xdr:colOff>12700</xdr:colOff>
          <xdr:row>57</xdr:row>
          <xdr:rowOff>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57</xdr:row>
          <xdr:rowOff>25400</xdr:rowOff>
        </xdr:from>
        <xdr:to>
          <xdr:col>19</xdr:col>
          <xdr:colOff>12700</xdr:colOff>
          <xdr:row>58</xdr:row>
          <xdr:rowOff>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58</xdr:row>
          <xdr:rowOff>25400</xdr:rowOff>
        </xdr:from>
        <xdr:to>
          <xdr:col>19</xdr:col>
          <xdr:colOff>12700</xdr:colOff>
          <xdr:row>59</xdr:row>
          <xdr:rowOff>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59</xdr:row>
          <xdr:rowOff>25400</xdr:rowOff>
        </xdr:from>
        <xdr:to>
          <xdr:col>19</xdr:col>
          <xdr:colOff>12700</xdr:colOff>
          <xdr:row>60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60</xdr:row>
          <xdr:rowOff>25400</xdr:rowOff>
        </xdr:from>
        <xdr:to>
          <xdr:col>19</xdr:col>
          <xdr:colOff>12700</xdr:colOff>
          <xdr:row>61</xdr:row>
          <xdr:rowOff>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61</xdr:row>
          <xdr:rowOff>25400</xdr:rowOff>
        </xdr:from>
        <xdr:to>
          <xdr:col>19</xdr:col>
          <xdr:colOff>12700</xdr:colOff>
          <xdr:row>62</xdr:row>
          <xdr:rowOff>0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62</xdr:row>
          <xdr:rowOff>25400</xdr:rowOff>
        </xdr:from>
        <xdr:to>
          <xdr:col>19</xdr:col>
          <xdr:colOff>12700</xdr:colOff>
          <xdr:row>63</xdr:row>
          <xdr:rowOff>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63</xdr:row>
          <xdr:rowOff>25400</xdr:rowOff>
        </xdr:from>
        <xdr:to>
          <xdr:col>19</xdr:col>
          <xdr:colOff>12700</xdr:colOff>
          <xdr:row>64</xdr:row>
          <xdr:rowOff>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64</xdr:row>
          <xdr:rowOff>25400</xdr:rowOff>
        </xdr:from>
        <xdr:to>
          <xdr:col>19</xdr:col>
          <xdr:colOff>12700</xdr:colOff>
          <xdr:row>65</xdr:row>
          <xdr:rowOff>0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65</xdr:row>
          <xdr:rowOff>25400</xdr:rowOff>
        </xdr:from>
        <xdr:to>
          <xdr:col>19</xdr:col>
          <xdr:colOff>12700</xdr:colOff>
          <xdr:row>66</xdr:row>
          <xdr:rowOff>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66</xdr:row>
          <xdr:rowOff>25400</xdr:rowOff>
        </xdr:from>
        <xdr:to>
          <xdr:col>19</xdr:col>
          <xdr:colOff>12700</xdr:colOff>
          <xdr:row>67</xdr:row>
          <xdr:rowOff>0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67</xdr:row>
          <xdr:rowOff>25400</xdr:rowOff>
        </xdr:from>
        <xdr:to>
          <xdr:col>19</xdr:col>
          <xdr:colOff>12700</xdr:colOff>
          <xdr:row>68</xdr:row>
          <xdr:rowOff>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68</xdr:row>
          <xdr:rowOff>25400</xdr:rowOff>
        </xdr:from>
        <xdr:to>
          <xdr:col>19</xdr:col>
          <xdr:colOff>12700</xdr:colOff>
          <xdr:row>69</xdr:row>
          <xdr:rowOff>0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69</xdr:row>
          <xdr:rowOff>25400</xdr:rowOff>
        </xdr:from>
        <xdr:to>
          <xdr:col>19</xdr:col>
          <xdr:colOff>12700</xdr:colOff>
          <xdr:row>70</xdr:row>
          <xdr:rowOff>0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70</xdr:row>
          <xdr:rowOff>25400</xdr:rowOff>
        </xdr:from>
        <xdr:to>
          <xdr:col>19</xdr:col>
          <xdr:colOff>12700</xdr:colOff>
          <xdr:row>71</xdr:row>
          <xdr:rowOff>0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71</xdr:row>
          <xdr:rowOff>25400</xdr:rowOff>
        </xdr:from>
        <xdr:to>
          <xdr:col>19</xdr:col>
          <xdr:colOff>12700</xdr:colOff>
          <xdr:row>72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72</xdr:row>
          <xdr:rowOff>25400</xdr:rowOff>
        </xdr:from>
        <xdr:to>
          <xdr:col>19</xdr:col>
          <xdr:colOff>12700</xdr:colOff>
          <xdr:row>73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73</xdr:row>
          <xdr:rowOff>25400</xdr:rowOff>
        </xdr:from>
        <xdr:to>
          <xdr:col>19</xdr:col>
          <xdr:colOff>12700</xdr:colOff>
          <xdr:row>74</xdr:row>
          <xdr:rowOff>0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74</xdr:row>
          <xdr:rowOff>25400</xdr:rowOff>
        </xdr:from>
        <xdr:to>
          <xdr:col>19</xdr:col>
          <xdr:colOff>12700</xdr:colOff>
          <xdr:row>75</xdr:row>
          <xdr:rowOff>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75</xdr:row>
          <xdr:rowOff>25400</xdr:rowOff>
        </xdr:from>
        <xdr:to>
          <xdr:col>19</xdr:col>
          <xdr:colOff>12700</xdr:colOff>
          <xdr:row>76</xdr:row>
          <xdr:rowOff>0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76</xdr:row>
          <xdr:rowOff>25400</xdr:rowOff>
        </xdr:from>
        <xdr:to>
          <xdr:col>19</xdr:col>
          <xdr:colOff>12700</xdr:colOff>
          <xdr:row>77</xdr:row>
          <xdr:rowOff>0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77</xdr:row>
          <xdr:rowOff>25400</xdr:rowOff>
        </xdr:from>
        <xdr:to>
          <xdr:col>19</xdr:col>
          <xdr:colOff>12700</xdr:colOff>
          <xdr:row>78</xdr:row>
          <xdr:rowOff>0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78</xdr:row>
          <xdr:rowOff>25400</xdr:rowOff>
        </xdr:from>
        <xdr:to>
          <xdr:col>19</xdr:col>
          <xdr:colOff>12700</xdr:colOff>
          <xdr:row>79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79</xdr:row>
          <xdr:rowOff>25400</xdr:rowOff>
        </xdr:from>
        <xdr:to>
          <xdr:col>19</xdr:col>
          <xdr:colOff>12700</xdr:colOff>
          <xdr:row>80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80</xdr:row>
          <xdr:rowOff>25400</xdr:rowOff>
        </xdr:from>
        <xdr:to>
          <xdr:col>19</xdr:col>
          <xdr:colOff>12700</xdr:colOff>
          <xdr:row>81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81</xdr:row>
          <xdr:rowOff>25400</xdr:rowOff>
        </xdr:from>
        <xdr:to>
          <xdr:col>19</xdr:col>
          <xdr:colOff>12700</xdr:colOff>
          <xdr:row>82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82</xdr:row>
          <xdr:rowOff>25400</xdr:rowOff>
        </xdr:from>
        <xdr:to>
          <xdr:col>19</xdr:col>
          <xdr:colOff>12700</xdr:colOff>
          <xdr:row>83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83</xdr:row>
          <xdr:rowOff>25400</xdr:rowOff>
        </xdr:from>
        <xdr:to>
          <xdr:col>19</xdr:col>
          <xdr:colOff>12700</xdr:colOff>
          <xdr:row>84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84</xdr:row>
          <xdr:rowOff>25400</xdr:rowOff>
        </xdr:from>
        <xdr:to>
          <xdr:col>19</xdr:col>
          <xdr:colOff>12700</xdr:colOff>
          <xdr:row>85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85</xdr:row>
          <xdr:rowOff>25400</xdr:rowOff>
        </xdr:from>
        <xdr:to>
          <xdr:col>19</xdr:col>
          <xdr:colOff>12700</xdr:colOff>
          <xdr:row>86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86</xdr:row>
          <xdr:rowOff>25400</xdr:rowOff>
        </xdr:from>
        <xdr:to>
          <xdr:col>19</xdr:col>
          <xdr:colOff>12700</xdr:colOff>
          <xdr:row>87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87</xdr:row>
          <xdr:rowOff>25400</xdr:rowOff>
        </xdr:from>
        <xdr:to>
          <xdr:col>19</xdr:col>
          <xdr:colOff>12700</xdr:colOff>
          <xdr:row>88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88</xdr:row>
          <xdr:rowOff>25400</xdr:rowOff>
        </xdr:from>
        <xdr:to>
          <xdr:col>19</xdr:col>
          <xdr:colOff>12700</xdr:colOff>
          <xdr:row>89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89</xdr:row>
          <xdr:rowOff>25400</xdr:rowOff>
        </xdr:from>
        <xdr:to>
          <xdr:col>19</xdr:col>
          <xdr:colOff>12700</xdr:colOff>
          <xdr:row>90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90</xdr:row>
          <xdr:rowOff>25400</xdr:rowOff>
        </xdr:from>
        <xdr:to>
          <xdr:col>19</xdr:col>
          <xdr:colOff>12700</xdr:colOff>
          <xdr:row>91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91</xdr:row>
          <xdr:rowOff>25400</xdr:rowOff>
        </xdr:from>
        <xdr:to>
          <xdr:col>19</xdr:col>
          <xdr:colOff>12700</xdr:colOff>
          <xdr:row>92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92</xdr:row>
          <xdr:rowOff>25400</xdr:rowOff>
        </xdr:from>
        <xdr:to>
          <xdr:col>19</xdr:col>
          <xdr:colOff>12700</xdr:colOff>
          <xdr:row>93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93</xdr:row>
          <xdr:rowOff>25400</xdr:rowOff>
        </xdr:from>
        <xdr:to>
          <xdr:col>19</xdr:col>
          <xdr:colOff>12700</xdr:colOff>
          <xdr:row>94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94</xdr:row>
          <xdr:rowOff>25400</xdr:rowOff>
        </xdr:from>
        <xdr:to>
          <xdr:col>19</xdr:col>
          <xdr:colOff>12700</xdr:colOff>
          <xdr:row>95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95</xdr:row>
          <xdr:rowOff>25400</xdr:rowOff>
        </xdr:from>
        <xdr:to>
          <xdr:col>19</xdr:col>
          <xdr:colOff>12700</xdr:colOff>
          <xdr:row>96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96</xdr:row>
          <xdr:rowOff>25400</xdr:rowOff>
        </xdr:from>
        <xdr:to>
          <xdr:col>19</xdr:col>
          <xdr:colOff>12700</xdr:colOff>
          <xdr:row>97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97</xdr:row>
          <xdr:rowOff>25400</xdr:rowOff>
        </xdr:from>
        <xdr:to>
          <xdr:col>19</xdr:col>
          <xdr:colOff>12700</xdr:colOff>
          <xdr:row>98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98</xdr:row>
          <xdr:rowOff>25400</xdr:rowOff>
        </xdr:from>
        <xdr:to>
          <xdr:col>19</xdr:col>
          <xdr:colOff>12700</xdr:colOff>
          <xdr:row>99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99</xdr:row>
          <xdr:rowOff>25400</xdr:rowOff>
        </xdr:from>
        <xdr:to>
          <xdr:col>19</xdr:col>
          <xdr:colOff>12700</xdr:colOff>
          <xdr:row>100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12700</xdr:colOff>
          <xdr:row>20</xdr:row>
          <xdr:rowOff>25400</xdr:rowOff>
        </xdr:from>
        <xdr:to>
          <xdr:col>19</xdr:col>
          <xdr:colOff>12700</xdr:colOff>
          <xdr:row>21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19</xdr:row>
          <xdr:rowOff>25400</xdr:rowOff>
        </xdr:from>
        <xdr:to>
          <xdr:col>1</xdr:col>
          <xdr:colOff>1155700</xdr:colOff>
          <xdr:row>19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30</xdr:row>
          <xdr:rowOff>25400</xdr:rowOff>
        </xdr:from>
        <xdr:to>
          <xdr:col>1</xdr:col>
          <xdr:colOff>1155700</xdr:colOff>
          <xdr:row>30</xdr:row>
          <xdr:rowOff>190500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42</xdr:row>
          <xdr:rowOff>25400</xdr:rowOff>
        </xdr:from>
        <xdr:to>
          <xdr:col>1</xdr:col>
          <xdr:colOff>1155700</xdr:colOff>
          <xdr:row>42</xdr:row>
          <xdr:rowOff>190500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44</xdr:row>
          <xdr:rowOff>0</xdr:rowOff>
        </xdr:from>
        <xdr:to>
          <xdr:col>1</xdr:col>
          <xdr:colOff>1155700</xdr:colOff>
          <xdr:row>44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1</xdr:row>
      <xdr:rowOff>25401</xdr:rowOff>
    </xdr:from>
    <xdr:to>
      <xdr:col>12</xdr:col>
      <xdr:colOff>812800</xdr:colOff>
      <xdr:row>34</xdr:row>
      <xdr:rowOff>176933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899" y="215901"/>
          <a:ext cx="9867901" cy="64380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3" Type="http://schemas.openxmlformats.org/officeDocument/2006/relationships/ctrlProp" Target="../ctrlProps/ctrlProp11.xml"/><Relationship Id="rId14" Type="http://schemas.openxmlformats.org/officeDocument/2006/relationships/ctrlProp" Target="../ctrlProps/ctrlProp12.xml"/><Relationship Id="rId15" Type="http://schemas.openxmlformats.org/officeDocument/2006/relationships/ctrlProp" Target="../ctrlProps/ctrlProp13.xml"/><Relationship Id="rId16" Type="http://schemas.openxmlformats.org/officeDocument/2006/relationships/ctrlProp" Target="../ctrlProps/ctrlProp14.xml"/><Relationship Id="rId17" Type="http://schemas.openxmlformats.org/officeDocument/2006/relationships/ctrlProp" Target="../ctrlProps/ctrlProp15.xml"/><Relationship Id="rId18" Type="http://schemas.openxmlformats.org/officeDocument/2006/relationships/ctrlProp" Target="../ctrlProps/ctrlProp16.xml"/><Relationship Id="rId19" Type="http://schemas.openxmlformats.org/officeDocument/2006/relationships/ctrlProp" Target="../ctrlProps/ctrlProp17.xml"/><Relationship Id="rId30" Type="http://schemas.openxmlformats.org/officeDocument/2006/relationships/ctrlProp" Target="../ctrlProps/ctrlProp28.xml"/><Relationship Id="rId31" Type="http://schemas.openxmlformats.org/officeDocument/2006/relationships/ctrlProp" Target="../ctrlProps/ctrlProp29.xml"/><Relationship Id="rId32" Type="http://schemas.openxmlformats.org/officeDocument/2006/relationships/ctrlProp" Target="../ctrlProps/ctrlProp30.xml"/><Relationship Id="rId33" Type="http://schemas.openxmlformats.org/officeDocument/2006/relationships/ctrlProp" Target="../ctrlProps/ctrlProp31.xml"/><Relationship Id="rId34" Type="http://schemas.openxmlformats.org/officeDocument/2006/relationships/ctrlProp" Target="../ctrlProps/ctrlProp32.xml"/><Relationship Id="rId35" Type="http://schemas.openxmlformats.org/officeDocument/2006/relationships/ctrlProp" Target="../ctrlProps/ctrlProp33.xml"/><Relationship Id="rId36" Type="http://schemas.openxmlformats.org/officeDocument/2006/relationships/ctrlProp" Target="../ctrlProps/ctrlProp34.xml"/><Relationship Id="rId37" Type="http://schemas.openxmlformats.org/officeDocument/2006/relationships/ctrlProp" Target="../ctrlProps/ctrlProp35.xml"/><Relationship Id="rId38" Type="http://schemas.openxmlformats.org/officeDocument/2006/relationships/ctrlProp" Target="../ctrlProps/ctrlProp36.xml"/><Relationship Id="rId39" Type="http://schemas.openxmlformats.org/officeDocument/2006/relationships/ctrlProp" Target="../ctrlProps/ctrlProp37.xml"/><Relationship Id="rId50" Type="http://schemas.openxmlformats.org/officeDocument/2006/relationships/ctrlProp" Target="../ctrlProps/ctrlProp48.xml"/><Relationship Id="rId51" Type="http://schemas.openxmlformats.org/officeDocument/2006/relationships/ctrlProp" Target="../ctrlProps/ctrlProp49.xml"/><Relationship Id="rId52" Type="http://schemas.openxmlformats.org/officeDocument/2006/relationships/ctrlProp" Target="../ctrlProps/ctrlProp50.xml"/><Relationship Id="rId53" Type="http://schemas.openxmlformats.org/officeDocument/2006/relationships/ctrlProp" Target="../ctrlProps/ctrlProp51.xml"/><Relationship Id="rId54" Type="http://schemas.openxmlformats.org/officeDocument/2006/relationships/ctrlProp" Target="../ctrlProps/ctrlProp52.xml"/><Relationship Id="rId55" Type="http://schemas.openxmlformats.org/officeDocument/2006/relationships/ctrlProp" Target="../ctrlProps/ctrlProp53.xml"/><Relationship Id="rId56" Type="http://schemas.openxmlformats.org/officeDocument/2006/relationships/ctrlProp" Target="../ctrlProps/ctrlProp54.xml"/><Relationship Id="rId57" Type="http://schemas.openxmlformats.org/officeDocument/2006/relationships/ctrlProp" Target="../ctrlProps/ctrlProp55.xml"/><Relationship Id="rId58" Type="http://schemas.openxmlformats.org/officeDocument/2006/relationships/ctrlProp" Target="../ctrlProps/ctrlProp56.xml"/><Relationship Id="rId59" Type="http://schemas.openxmlformats.org/officeDocument/2006/relationships/ctrlProp" Target="../ctrlProps/ctrlProp57.xml"/><Relationship Id="rId70" Type="http://schemas.openxmlformats.org/officeDocument/2006/relationships/ctrlProp" Target="../ctrlProps/ctrlProp68.xml"/><Relationship Id="rId71" Type="http://schemas.openxmlformats.org/officeDocument/2006/relationships/ctrlProp" Target="../ctrlProps/ctrlProp69.xml"/><Relationship Id="rId72" Type="http://schemas.openxmlformats.org/officeDocument/2006/relationships/ctrlProp" Target="../ctrlProps/ctrlProp70.xml"/><Relationship Id="rId73" Type="http://schemas.openxmlformats.org/officeDocument/2006/relationships/ctrlProp" Target="../ctrlProps/ctrlProp71.xml"/><Relationship Id="rId74" Type="http://schemas.openxmlformats.org/officeDocument/2006/relationships/ctrlProp" Target="../ctrlProps/ctrlProp72.xml"/><Relationship Id="rId75" Type="http://schemas.openxmlformats.org/officeDocument/2006/relationships/ctrlProp" Target="../ctrlProps/ctrlProp73.xml"/><Relationship Id="rId76" Type="http://schemas.openxmlformats.org/officeDocument/2006/relationships/ctrlProp" Target="../ctrlProps/ctrlProp74.xml"/><Relationship Id="rId77" Type="http://schemas.openxmlformats.org/officeDocument/2006/relationships/ctrlProp" Target="../ctrlProps/ctrlProp75.xml"/><Relationship Id="rId78" Type="http://schemas.openxmlformats.org/officeDocument/2006/relationships/ctrlProp" Target="../ctrlProps/ctrlProp76.xml"/><Relationship Id="rId79" Type="http://schemas.openxmlformats.org/officeDocument/2006/relationships/ctrlProp" Target="../ctrlProps/ctrlProp77.xml"/><Relationship Id="rId20" Type="http://schemas.openxmlformats.org/officeDocument/2006/relationships/ctrlProp" Target="../ctrlProps/ctrlProp18.xml"/><Relationship Id="rId21" Type="http://schemas.openxmlformats.org/officeDocument/2006/relationships/ctrlProp" Target="../ctrlProps/ctrlProp19.xml"/><Relationship Id="rId22" Type="http://schemas.openxmlformats.org/officeDocument/2006/relationships/ctrlProp" Target="../ctrlProps/ctrlProp20.xml"/><Relationship Id="rId23" Type="http://schemas.openxmlformats.org/officeDocument/2006/relationships/ctrlProp" Target="../ctrlProps/ctrlProp21.xml"/><Relationship Id="rId24" Type="http://schemas.openxmlformats.org/officeDocument/2006/relationships/ctrlProp" Target="../ctrlProps/ctrlProp22.xml"/><Relationship Id="rId25" Type="http://schemas.openxmlformats.org/officeDocument/2006/relationships/ctrlProp" Target="../ctrlProps/ctrlProp23.xml"/><Relationship Id="rId26" Type="http://schemas.openxmlformats.org/officeDocument/2006/relationships/ctrlProp" Target="../ctrlProps/ctrlProp24.xml"/><Relationship Id="rId27" Type="http://schemas.openxmlformats.org/officeDocument/2006/relationships/ctrlProp" Target="../ctrlProps/ctrlProp25.xml"/><Relationship Id="rId28" Type="http://schemas.openxmlformats.org/officeDocument/2006/relationships/ctrlProp" Target="../ctrlProps/ctrlProp26.xml"/><Relationship Id="rId29" Type="http://schemas.openxmlformats.org/officeDocument/2006/relationships/ctrlProp" Target="../ctrlProps/ctrlProp27.xml"/><Relationship Id="rId40" Type="http://schemas.openxmlformats.org/officeDocument/2006/relationships/ctrlProp" Target="../ctrlProps/ctrlProp38.xml"/><Relationship Id="rId41" Type="http://schemas.openxmlformats.org/officeDocument/2006/relationships/ctrlProp" Target="../ctrlProps/ctrlProp39.xml"/><Relationship Id="rId42" Type="http://schemas.openxmlformats.org/officeDocument/2006/relationships/ctrlProp" Target="../ctrlProps/ctrlProp40.xml"/><Relationship Id="rId43" Type="http://schemas.openxmlformats.org/officeDocument/2006/relationships/ctrlProp" Target="../ctrlProps/ctrlProp41.xml"/><Relationship Id="rId44" Type="http://schemas.openxmlformats.org/officeDocument/2006/relationships/ctrlProp" Target="../ctrlProps/ctrlProp42.xml"/><Relationship Id="rId45" Type="http://schemas.openxmlformats.org/officeDocument/2006/relationships/ctrlProp" Target="../ctrlProps/ctrlProp43.xml"/><Relationship Id="rId46" Type="http://schemas.openxmlformats.org/officeDocument/2006/relationships/ctrlProp" Target="../ctrlProps/ctrlProp44.xml"/><Relationship Id="rId47" Type="http://schemas.openxmlformats.org/officeDocument/2006/relationships/ctrlProp" Target="../ctrlProps/ctrlProp45.xml"/><Relationship Id="rId48" Type="http://schemas.openxmlformats.org/officeDocument/2006/relationships/ctrlProp" Target="../ctrlProps/ctrlProp46.xml"/><Relationship Id="rId49" Type="http://schemas.openxmlformats.org/officeDocument/2006/relationships/ctrlProp" Target="../ctrlProps/ctrlProp47.xml"/><Relationship Id="rId60" Type="http://schemas.openxmlformats.org/officeDocument/2006/relationships/ctrlProp" Target="../ctrlProps/ctrlProp58.xml"/><Relationship Id="rId61" Type="http://schemas.openxmlformats.org/officeDocument/2006/relationships/ctrlProp" Target="../ctrlProps/ctrlProp59.xml"/><Relationship Id="rId62" Type="http://schemas.openxmlformats.org/officeDocument/2006/relationships/ctrlProp" Target="../ctrlProps/ctrlProp60.xml"/><Relationship Id="rId63" Type="http://schemas.openxmlformats.org/officeDocument/2006/relationships/ctrlProp" Target="../ctrlProps/ctrlProp61.xml"/><Relationship Id="rId64" Type="http://schemas.openxmlformats.org/officeDocument/2006/relationships/ctrlProp" Target="../ctrlProps/ctrlProp62.xml"/><Relationship Id="rId65" Type="http://schemas.openxmlformats.org/officeDocument/2006/relationships/ctrlProp" Target="../ctrlProps/ctrlProp63.xml"/><Relationship Id="rId66" Type="http://schemas.openxmlformats.org/officeDocument/2006/relationships/ctrlProp" Target="../ctrlProps/ctrlProp64.xml"/><Relationship Id="rId67" Type="http://schemas.openxmlformats.org/officeDocument/2006/relationships/ctrlProp" Target="../ctrlProps/ctrlProp65.xml"/><Relationship Id="rId68" Type="http://schemas.openxmlformats.org/officeDocument/2006/relationships/ctrlProp" Target="../ctrlProps/ctrlProp66.xml"/><Relationship Id="rId69" Type="http://schemas.openxmlformats.org/officeDocument/2006/relationships/ctrlProp" Target="../ctrlProps/ctrlProp67.xml"/><Relationship Id="rId80" Type="http://schemas.openxmlformats.org/officeDocument/2006/relationships/ctrlProp" Target="../ctrlProps/ctrlProp78.xml"/><Relationship Id="rId81" Type="http://schemas.openxmlformats.org/officeDocument/2006/relationships/ctrlProp" Target="../ctrlProps/ctrlProp79.xml"/><Relationship Id="rId82" Type="http://schemas.openxmlformats.org/officeDocument/2006/relationships/ctrlProp" Target="../ctrlProps/ctrlProp80.xml"/><Relationship Id="rId83" Type="http://schemas.openxmlformats.org/officeDocument/2006/relationships/ctrlProp" Target="../ctrlProps/ctrlProp81.xml"/><Relationship Id="rId84" Type="http://schemas.openxmlformats.org/officeDocument/2006/relationships/ctrlProp" Target="../ctrlProps/ctrlProp82.xml"/><Relationship Id="rId85" Type="http://schemas.openxmlformats.org/officeDocument/2006/relationships/ctrlProp" Target="../ctrlProps/ctrlProp83.xml"/><Relationship Id="rId86" Type="http://schemas.openxmlformats.org/officeDocument/2006/relationships/ctrlProp" Target="../ctrlProps/ctrlProp84.xml"/><Relationship Id="rId87" Type="http://schemas.openxmlformats.org/officeDocument/2006/relationships/ctrlProp" Target="../ctrlProps/ctrlProp8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6.xml"/><Relationship Id="rId4" Type="http://schemas.openxmlformats.org/officeDocument/2006/relationships/ctrlProp" Target="../ctrlProps/ctrlProp87.xml"/><Relationship Id="rId5" Type="http://schemas.openxmlformats.org/officeDocument/2006/relationships/ctrlProp" Target="../ctrlProps/ctrlProp88.xml"/><Relationship Id="rId6" Type="http://schemas.openxmlformats.org/officeDocument/2006/relationships/ctrlProp" Target="../ctrlProps/ctrlProp89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68"/>
  <sheetViews>
    <sheetView tabSelected="1" zoomScale="85" zoomScaleNormal="85" zoomScalePageLayoutView="85" workbookViewId="0">
      <selection activeCell="B4" sqref="B4"/>
    </sheetView>
  </sheetViews>
  <sheetFormatPr baseColWidth="10" defaultRowHeight="15" x14ac:dyDescent="0"/>
  <cols>
    <col min="1" max="1" width="36.1640625" bestFit="1" customWidth="1"/>
    <col min="2" max="2" width="29.83203125" bestFit="1" customWidth="1"/>
    <col min="3" max="3" width="26.6640625" bestFit="1" customWidth="1"/>
    <col min="4" max="4" width="26.1640625" bestFit="1" customWidth="1"/>
    <col min="5" max="5" width="15.5" bestFit="1" customWidth="1"/>
    <col min="6" max="6" width="12.83203125" bestFit="1" customWidth="1"/>
    <col min="7" max="7" width="24.6640625" bestFit="1" customWidth="1"/>
  </cols>
  <sheetData>
    <row r="1" spans="1:10" ht="16" thickBot="1">
      <c r="A1" s="34" t="s">
        <v>15</v>
      </c>
      <c r="B1" s="35" t="s">
        <v>461</v>
      </c>
      <c r="C1" s="2"/>
      <c r="D1" s="2"/>
    </row>
    <row r="2" spans="1:10" ht="16" thickBot="1"/>
    <row r="3" spans="1:10">
      <c r="A3" s="240" t="s">
        <v>228</v>
      </c>
      <c r="B3" s="241"/>
      <c r="C3" s="242"/>
      <c r="D3" s="24"/>
      <c r="E3" s="24"/>
      <c r="F3" s="24"/>
      <c r="J3" s="20" t="s">
        <v>401</v>
      </c>
    </row>
    <row r="4" spans="1:10">
      <c r="A4" s="172" t="s">
        <v>316</v>
      </c>
      <c r="B4" s="173"/>
      <c r="C4" s="26"/>
      <c r="D4" s="90" t="s">
        <v>225</v>
      </c>
      <c r="E4" s="92" t="s">
        <v>227</v>
      </c>
      <c r="F4" s="24"/>
      <c r="J4" s="20" t="s">
        <v>401</v>
      </c>
    </row>
    <row r="5" spans="1:10">
      <c r="A5" s="25" t="s">
        <v>229</v>
      </c>
      <c r="B5" s="29"/>
      <c r="C5" s="27"/>
      <c r="D5" s="90" t="s">
        <v>377</v>
      </c>
      <c r="J5" s="20" t="s">
        <v>401</v>
      </c>
    </row>
    <row r="6" spans="1:10">
      <c r="A6" s="25" t="s">
        <v>20</v>
      </c>
      <c r="B6" s="29"/>
      <c r="C6" s="27"/>
      <c r="D6" s="91" t="s">
        <v>226</v>
      </c>
      <c r="E6" s="24" t="s">
        <v>227</v>
      </c>
      <c r="F6" s="24"/>
      <c r="J6" s="20" t="s">
        <v>401</v>
      </c>
    </row>
    <row r="7" spans="1:10">
      <c r="A7" s="175" t="s">
        <v>334</v>
      </c>
      <c r="B7" s="174"/>
      <c r="C7" s="27"/>
      <c r="D7" s="91" t="s">
        <v>226</v>
      </c>
      <c r="E7" s="92"/>
      <c r="F7" s="24"/>
      <c r="J7" s="20" t="s">
        <v>401</v>
      </c>
    </row>
    <row r="8" spans="1:10">
      <c r="A8" s="25" t="s">
        <v>40</v>
      </c>
      <c r="B8" s="29"/>
      <c r="C8" s="27"/>
      <c r="D8" s="91" t="s">
        <v>226</v>
      </c>
      <c r="E8" s="92"/>
      <c r="F8" s="24"/>
      <c r="J8" s="20" t="s">
        <v>401</v>
      </c>
    </row>
    <row r="9" spans="1:10">
      <c r="A9" s="25" t="s">
        <v>18</v>
      </c>
      <c r="B9" s="29"/>
      <c r="C9" s="27"/>
      <c r="D9" s="91" t="s">
        <v>226</v>
      </c>
      <c r="E9" s="24" t="s">
        <v>227</v>
      </c>
      <c r="F9" s="24"/>
      <c r="J9" s="20" t="s">
        <v>401</v>
      </c>
    </row>
    <row r="10" spans="1:10">
      <c r="A10" s="25" t="s">
        <v>332</v>
      </c>
      <c r="B10" s="29"/>
      <c r="C10" s="27"/>
      <c r="D10" s="91" t="s">
        <v>226</v>
      </c>
      <c r="E10" s="24"/>
      <c r="F10" s="24"/>
      <c r="J10" s="20" t="s">
        <v>401</v>
      </c>
    </row>
    <row r="11" spans="1:10">
      <c r="A11" s="25" t="s">
        <v>19</v>
      </c>
      <c r="B11" s="29"/>
      <c r="C11" s="27"/>
      <c r="D11" s="91" t="s">
        <v>226</v>
      </c>
      <c r="E11" s="205" t="s">
        <v>227</v>
      </c>
      <c r="F11" s="24"/>
      <c r="J11" s="20" t="s">
        <v>401</v>
      </c>
    </row>
    <row r="12" spans="1:10" ht="16" thickBot="1">
      <c r="A12" s="203" t="s">
        <v>333</v>
      </c>
      <c r="B12" s="204"/>
      <c r="C12" s="28"/>
      <c r="D12" s="91" t="s">
        <v>226</v>
      </c>
      <c r="E12" s="24"/>
      <c r="F12" s="24"/>
      <c r="J12" s="20" t="s">
        <v>401</v>
      </c>
    </row>
    <row r="13" spans="1:10">
      <c r="C13" s="2"/>
      <c r="D13" s="93"/>
      <c r="E13" s="24"/>
      <c r="F13" s="24"/>
      <c r="J13" s="24"/>
    </row>
    <row r="14" spans="1:10" ht="16" thickBot="1">
      <c r="A14" s="3"/>
      <c r="B14" s="2"/>
      <c r="C14" s="2"/>
      <c r="D14" s="2"/>
    </row>
    <row r="15" spans="1:10">
      <c r="A15" s="246" t="s">
        <v>1</v>
      </c>
      <c r="B15" s="247"/>
      <c r="C15" s="4"/>
      <c r="D15" s="2"/>
    </row>
    <row r="16" spans="1:10">
      <c r="A16" s="7" t="s">
        <v>2</v>
      </c>
      <c r="B16" s="14"/>
      <c r="C16" s="90" t="s">
        <v>225</v>
      </c>
      <c r="D16" s="2"/>
    </row>
    <row r="17" spans="1:10">
      <c r="A17" s="7" t="s">
        <v>41</v>
      </c>
      <c r="B17" s="14"/>
      <c r="C17" s="93" t="s">
        <v>398</v>
      </c>
      <c r="D17" s="2"/>
    </row>
    <row r="18" spans="1:10">
      <c r="A18" s="7" t="s">
        <v>316</v>
      </c>
      <c r="B18" s="14"/>
      <c r="C18" s="93" t="s">
        <v>226</v>
      </c>
      <c r="J18" s="2" t="s">
        <v>400</v>
      </c>
    </row>
    <row r="19" spans="1:10">
      <c r="A19" s="7" t="s">
        <v>396</v>
      </c>
      <c r="B19" s="14"/>
      <c r="C19" s="93" t="s">
        <v>397</v>
      </c>
      <c r="D19" s="2"/>
    </row>
    <row r="20" spans="1:10" ht="16" thickBot="1">
      <c r="A20" s="210" t="s">
        <v>399</v>
      </c>
      <c r="B20" s="211"/>
      <c r="C20" s="93" t="s">
        <v>397</v>
      </c>
      <c r="D20" s="2"/>
    </row>
    <row r="21" spans="1:10" ht="16" thickBot="1"/>
    <row r="22" spans="1:10" ht="15" customHeight="1">
      <c r="A22" s="169" t="s">
        <v>216</v>
      </c>
      <c r="B22" s="170"/>
      <c r="C22" s="170"/>
      <c r="D22" s="170"/>
      <c r="E22" s="170"/>
      <c r="F22" s="225"/>
      <c r="G22" s="226"/>
    </row>
    <row r="23" spans="1:10">
      <c r="A23" s="10" t="s">
        <v>316</v>
      </c>
      <c r="B23" s="18"/>
      <c r="C23" s="6"/>
      <c r="D23" s="6"/>
      <c r="E23" s="6"/>
      <c r="F23" s="227"/>
      <c r="G23" s="228"/>
    </row>
    <row r="24" spans="1:10">
      <c r="A24" s="9"/>
      <c r="B24" s="6"/>
      <c r="C24" s="6"/>
      <c r="D24" s="6"/>
      <c r="E24" s="80"/>
      <c r="F24" s="229"/>
      <c r="G24" s="230"/>
    </row>
    <row r="25" spans="1:10">
      <c r="A25" s="243" t="s">
        <v>177</v>
      </c>
      <c r="B25" s="5" t="s">
        <v>454</v>
      </c>
      <c r="C25" s="234" t="s">
        <v>458</v>
      </c>
      <c r="D25" s="5" t="s">
        <v>45</v>
      </c>
      <c r="E25" s="21" t="s">
        <v>456</v>
      </c>
      <c r="F25" s="87" t="s">
        <v>457</v>
      </c>
      <c r="G25" s="231" t="s">
        <v>459</v>
      </c>
      <c r="H25" s="1" t="s">
        <v>460</v>
      </c>
    </row>
    <row r="26" spans="1:10">
      <c r="A26" s="244"/>
      <c r="B26" s="17"/>
      <c r="C26" s="17"/>
      <c r="D26" s="17"/>
      <c r="E26" s="49"/>
      <c r="F26" s="18"/>
      <c r="G26" s="232"/>
    </row>
    <row r="27" spans="1:10">
      <c r="A27" s="244"/>
      <c r="B27" s="17"/>
      <c r="C27" s="17"/>
      <c r="D27" s="17"/>
      <c r="E27" s="49"/>
      <c r="F27" s="18"/>
      <c r="G27" s="232"/>
    </row>
    <row r="28" spans="1:10">
      <c r="A28" s="244"/>
      <c r="B28" s="17"/>
      <c r="C28" s="17"/>
      <c r="D28" s="17"/>
      <c r="E28" s="49"/>
      <c r="F28" s="18"/>
      <c r="G28" s="232"/>
    </row>
    <row r="29" spans="1:10">
      <c r="A29" s="244"/>
      <c r="B29" s="17"/>
      <c r="C29" s="17"/>
      <c r="D29" s="17"/>
      <c r="E29" s="49"/>
      <c r="F29" s="18"/>
      <c r="G29" s="232"/>
    </row>
    <row r="30" spans="1:10">
      <c r="A30" s="244"/>
      <c r="B30" s="17"/>
      <c r="C30" s="17"/>
      <c r="D30" s="17"/>
      <c r="E30" s="49"/>
      <c r="F30" s="18"/>
      <c r="G30" s="232"/>
    </row>
    <row r="31" spans="1:10">
      <c r="A31" s="244"/>
      <c r="B31" s="17"/>
      <c r="C31" s="17"/>
      <c r="D31" s="17"/>
      <c r="E31" s="49"/>
      <c r="F31" s="18"/>
      <c r="G31" s="232"/>
    </row>
    <row r="32" spans="1:10">
      <c r="A32" s="244"/>
      <c r="B32" s="17"/>
      <c r="C32" s="17"/>
      <c r="D32" s="17"/>
      <c r="E32" s="49"/>
      <c r="F32" s="18"/>
      <c r="G32" s="232"/>
    </row>
    <row r="33" spans="1:8">
      <c r="A33" s="244"/>
      <c r="B33" s="17"/>
      <c r="C33" s="17"/>
      <c r="D33" s="17"/>
      <c r="E33" s="49"/>
      <c r="F33" s="18"/>
      <c r="G33" s="232"/>
    </row>
    <row r="34" spans="1:8">
      <c r="A34" s="244"/>
      <c r="B34" s="17"/>
      <c r="C34" s="17"/>
      <c r="D34" s="17"/>
      <c r="E34" s="49"/>
      <c r="F34" s="18"/>
      <c r="G34" s="232"/>
    </row>
    <row r="35" spans="1:8">
      <c r="A35" s="244"/>
      <c r="B35" s="17"/>
      <c r="C35" s="17"/>
      <c r="D35" s="17"/>
      <c r="E35" s="49"/>
      <c r="F35" s="18"/>
      <c r="G35" s="232"/>
    </row>
    <row r="36" spans="1:8">
      <c r="A36" s="244"/>
      <c r="B36" s="17"/>
      <c r="C36" s="17"/>
      <c r="D36" s="17"/>
      <c r="E36" s="49"/>
      <c r="F36" s="18"/>
      <c r="G36" s="232"/>
    </row>
    <row r="37" spans="1:8">
      <c r="A37" s="244"/>
      <c r="B37" s="17"/>
      <c r="C37" s="17"/>
      <c r="D37" s="17"/>
      <c r="E37" s="49"/>
      <c r="F37" s="18"/>
      <c r="G37" s="232"/>
    </row>
    <row r="38" spans="1:8">
      <c r="A38" s="244"/>
      <c r="B38" s="17"/>
      <c r="C38" s="17"/>
      <c r="D38" s="17"/>
      <c r="E38" s="49"/>
      <c r="F38" s="18"/>
      <c r="G38" s="232"/>
    </row>
    <row r="39" spans="1:8">
      <c r="A39" s="244"/>
      <c r="B39" s="17"/>
      <c r="C39" s="17"/>
      <c r="D39" s="17"/>
      <c r="E39" s="49"/>
      <c r="F39" s="18"/>
      <c r="G39" s="232"/>
    </row>
    <row r="40" spans="1:8" ht="16" thickBot="1">
      <c r="A40" s="245"/>
      <c r="B40" s="32"/>
      <c r="C40" s="32"/>
      <c r="D40" s="32"/>
      <c r="E40" s="52"/>
      <c r="F40" s="222"/>
      <c r="G40" s="233"/>
    </row>
    <row r="41" spans="1:8" ht="16" thickBot="1"/>
    <row r="42" spans="1:8" ht="15" customHeight="1">
      <c r="A42" s="169" t="s">
        <v>463</v>
      </c>
      <c r="B42" s="170"/>
      <c r="C42" s="170"/>
      <c r="D42" s="170"/>
      <c r="E42" s="170"/>
      <c r="F42" s="170"/>
      <c r="G42" s="171"/>
    </row>
    <row r="43" spans="1:8">
      <c r="A43" s="7" t="s">
        <v>17</v>
      </c>
      <c r="B43" s="15"/>
      <c r="C43" s="42"/>
      <c r="D43" s="235"/>
      <c r="E43" s="6"/>
      <c r="F43" s="6"/>
      <c r="G43" s="8"/>
    </row>
    <row r="44" spans="1:8">
      <c r="A44" s="9"/>
      <c r="B44" s="6"/>
      <c r="C44" s="6"/>
      <c r="D44" s="6"/>
      <c r="E44" s="80"/>
      <c r="F44" s="80"/>
      <c r="G44" s="45"/>
    </row>
    <row r="45" spans="1:8">
      <c r="A45" s="243" t="s">
        <v>177</v>
      </c>
      <c r="B45" s="5" t="s">
        <v>454</v>
      </c>
      <c r="C45" s="234" t="s">
        <v>458</v>
      </c>
      <c r="D45" s="5" t="s">
        <v>45</v>
      </c>
      <c r="E45" s="21" t="s">
        <v>456</v>
      </c>
      <c r="F45" s="21" t="s">
        <v>457</v>
      </c>
      <c r="G45" s="11" t="s">
        <v>459</v>
      </c>
      <c r="H45" s="1" t="s">
        <v>460</v>
      </c>
    </row>
    <row r="46" spans="1:8">
      <c r="A46" s="244"/>
      <c r="B46" s="17"/>
      <c r="C46" s="17"/>
      <c r="D46" s="17"/>
      <c r="E46" s="49"/>
      <c r="F46" s="49"/>
      <c r="G46" s="19"/>
    </row>
    <row r="47" spans="1:8">
      <c r="A47" s="244"/>
      <c r="B47" s="17"/>
      <c r="C47" s="17"/>
      <c r="D47" s="17"/>
      <c r="E47" s="49"/>
      <c r="F47" s="49"/>
      <c r="G47" s="19"/>
    </row>
    <row r="48" spans="1:8">
      <c r="A48" s="244"/>
      <c r="B48" s="17"/>
      <c r="C48" s="17"/>
      <c r="D48" s="17"/>
      <c r="E48" s="49"/>
      <c r="F48" s="49"/>
      <c r="G48" s="19"/>
    </row>
    <row r="49" spans="1:8">
      <c r="A49" s="244"/>
      <c r="B49" s="17"/>
      <c r="C49" s="17"/>
      <c r="D49" s="17"/>
      <c r="E49" s="49"/>
      <c r="F49" s="49"/>
      <c r="G49" s="19"/>
    </row>
    <row r="50" spans="1:8">
      <c r="A50" s="244"/>
      <c r="B50" s="17"/>
      <c r="C50" s="17"/>
      <c r="D50" s="17"/>
      <c r="E50" s="49"/>
      <c r="F50" s="49"/>
      <c r="G50" s="19"/>
    </row>
    <row r="51" spans="1:8">
      <c r="A51" s="244"/>
      <c r="B51" s="17"/>
      <c r="C51" s="17"/>
      <c r="D51" s="17"/>
      <c r="E51" s="49"/>
      <c r="F51" s="49"/>
      <c r="G51" s="19"/>
    </row>
    <row r="52" spans="1:8">
      <c r="A52" s="244"/>
      <c r="B52" s="17"/>
      <c r="C52" s="17"/>
      <c r="D52" s="17"/>
      <c r="E52" s="49"/>
      <c r="F52" s="49"/>
      <c r="G52" s="19"/>
    </row>
    <row r="53" spans="1:8">
      <c r="A53" s="244"/>
      <c r="B53" s="17"/>
      <c r="C53" s="17"/>
      <c r="D53" s="17"/>
      <c r="E53" s="49"/>
      <c r="F53" s="49"/>
      <c r="G53" s="19"/>
      <c r="H53" s="24"/>
    </row>
    <row r="54" spans="1:8">
      <c r="A54" s="244"/>
      <c r="B54" s="17"/>
      <c r="C54" s="17"/>
      <c r="D54" s="17"/>
      <c r="E54" s="49"/>
      <c r="F54" s="49"/>
      <c r="G54" s="19"/>
    </row>
    <row r="55" spans="1:8">
      <c r="A55" s="244"/>
      <c r="B55" s="17"/>
      <c r="C55" s="17"/>
      <c r="D55" s="17"/>
      <c r="E55" s="49"/>
      <c r="F55" s="49"/>
      <c r="G55" s="19"/>
    </row>
    <row r="56" spans="1:8">
      <c r="A56" s="244"/>
      <c r="B56" s="17"/>
      <c r="C56" s="17"/>
      <c r="D56" s="17"/>
      <c r="E56" s="49"/>
      <c r="F56" s="49"/>
      <c r="G56" s="19"/>
    </row>
    <row r="57" spans="1:8">
      <c r="A57" s="244"/>
      <c r="B57" s="17"/>
      <c r="C57" s="17"/>
      <c r="D57" s="17"/>
      <c r="E57" s="49"/>
      <c r="F57" s="49"/>
      <c r="G57" s="19"/>
    </row>
    <row r="58" spans="1:8">
      <c r="A58" s="244"/>
      <c r="B58" s="17"/>
      <c r="C58" s="17"/>
      <c r="D58" s="17"/>
      <c r="E58" s="49"/>
      <c r="F58" s="49"/>
      <c r="G58" s="19"/>
    </row>
    <row r="59" spans="1:8">
      <c r="A59" s="244"/>
      <c r="B59" s="17"/>
      <c r="C59" s="17"/>
      <c r="D59" s="17"/>
      <c r="E59" s="49"/>
      <c r="F59" s="49"/>
      <c r="G59" s="19"/>
    </row>
    <row r="60" spans="1:8" ht="16" thickBot="1">
      <c r="A60" s="245"/>
      <c r="B60" s="32"/>
      <c r="C60" s="32"/>
      <c r="D60" s="32"/>
      <c r="E60" s="52"/>
      <c r="F60" s="52"/>
      <c r="G60" s="33"/>
      <c r="H60" s="85" t="s">
        <v>217</v>
      </c>
    </row>
    <row r="61" spans="1:8" ht="16" thickBot="1"/>
    <row r="62" spans="1:8">
      <c r="A62" s="169" t="s">
        <v>455</v>
      </c>
      <c r="B62" s="170"/>
      <c r="C62" s="170"/>
      <c r="D62" s="170"/>
      <c r="E62" s="170"/>
      <c r="F62" s="171"/>
    </row>
    <row r="63" spans="1:8">
      <c r="A63" s="12" t="s">
        <v>16</v>
      </c>
      <c r="B63" s="16"/>
      <c r="C63" s="87" t="s">
        <v>221</v>
      </c>
      <c r="D63" s="87"/>
      <c r="E63" s="6"/>
      <c r="F63" s="8"/>
    </row>
    <row r="64" spans="1:8">
      <c r="A64" s="7" t="s">
        <v>17</v>
      </c>
      <c r="B64" s="15"/>
      <c r="C64" s="87" t="s">
        <v>222</v>
      </c>
      <c r="D64" s="87"/>
      <c r="E64" s="6"/>
      <c r="F64" s="8"/>
    </row>
    <row r="65" spans="1:6">
      <c r="A65" s="9"/>
      <c r="B65" s="6"/>
      <c r="C65" s="6"/>
      <c r="D65" s="6"/>
      <c r="E65" s="6"/>
      <c r="F65" s="8"/>
    </row>
    <row r="66" spans="1:6">
      <c r="A66" s="10" t="s">
        <v>50</v>
      </c>
      <c r="B66" s="18"/>
      <c r="C66" s="6"/>
      <c r="D66" s="6"/>
      <c r="E66" s="6"/>
      <c r="F66" s="8"/>
    </row>
    <row r="67" spans="1:6">
      <c r="A67" s="9"/>
      <c r="B67" s="6"/>
      <c r="C67" s="6"/>
      <c r="D67" s="6"/>
      <c r="E67" s="6"/>
      <c r="F67" s="8"/>
    </row>
    <row r="68" spans="1:6" ht="16" thickBot="1">
      <c r="A68" s="221" t="s">
        <v>8</v>
      </c>
      <c r="B68" s="222"/>
      <c r="C68" s="223"/>
      <c r="D68" s="223"/>
      <c r="E68" s="223"/>
      <c r="F68" s="224"/>
    </row>
  </sheetData>
  <mergeCells count="4">
    <mergeCell ref="A3:C3"/>
    <mergeCell ref="A25:A40"/>
    <mergeCell ref="A45:A60"/>
    <mergeCell ref="A15:B15"/>
  </mergeCells>
  <dataValidations count="2">
    <dataValidation allowBlank="1" showInputMessage="1" showErrorMessage="1" errorTitle="must be choosed!" error="you have to notice the sample nature" sqref="B2 B5"/>
    <dataValidation showInputMessage="1" showErrorMessage="1" sqref="B7"/>
  </dataValidation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96CD6170-0018-974C-8249-86F5CE0C30F7}">
            <xm:f>$B$6=form_data!$D$26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9" id="{532E0CB3-5670-FF49-926F-0D6EB31B6639}">
            <xm:f>(( form_data!$D$5=$B$4)+($B$4=""))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A5:B5</xm:sqref>
        </x14:conditionalFormatting>
        <x14:conditionalFormatting xmlns:xm="http://schemas.microsoft.com/office/excel/2006/main">
          <x14:cfRule type="expression" priority="27" id="{35AEC03A-2439-4F42-90FD-D66B35ECF5BC}">
            <xm:f>$B$1&lt;&gt;form_data!$A$2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29" id="{4C2E81F1-9720-5C4D-B756-85DF04BFF05A}">
            <xm:f>$B$1=form_data!$A$2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A15 A16:B20</xm:sqref>
        </x14:conditionalFormatting>
        <x14:conditionalFormatting xmlns:xm="http://schemas.microsoft.com/office/excel/2006/main">
          <x14:cfRule type="expression" priority="39" id="{F16BFEE5-945B-2647-9347-394930141081}">
            <xm:f>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1" id="{C755F296-82DB-2940-9B58-7562B4E127FB}">
            <xm:f>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A22:G40</xm:sqref>
        </x14:conditionalFormatting>
        <x14:conditionalFormatting xmlns:xm="http://schemas.microsoft.com/office/excel/2006/main">
          <x14:cfRule type="expression" priority="34" id="{0669B71C-AFBE-9143-8AC5-6FB591CC4CDF}">
            <xm:f>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35" id="{92BAF5AA-9D0B-1C4B-9956-196B41B4FE5F}">
            <xm:f>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A42:G60</xm:sqref>
        </x14:conditionalFormatting>
        <x14:conditionalFormatting xmlns:xm="http://schemas.microsoft.com/office/excel/2006/main">
          <x14:cfRule type="expression" priority="1" id="{24A9A357-3226-184B-A91B-E4E2F5A5FB2D}">
            <xm:f>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9E34BC45-7B34-6942-814E-73BA3FC2E33D}">
            <xm:f>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A62:F68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0">
        <x14:dataValidation type="list" showInputMessage="1" showErrorMessage="1">
          <x14:formula1>
            <xm:f>form_data!$D$23:$D$27</xm:f>
          </x14:formula1>
          <xm:sqref>B6</xm:sqref>
        </x14:dataValidation>
        <x14:dataValidation type="list" showInputMessage="1" showErrorMessage="1">
          <x14:formula1>
            <xm:f>form_data!$D$2:$D$7</xm:f>
          </x14:formula1>
          <xm:sqref>B9</xm:sqref>
        </x14:dataValidation>
        <x14:dataValidation type="list" showInputMessage="1" showErrorMessage="1">
          <x14:formula1>
            <xm:f>form_data!$D$9:$D$13</xm:f>
          </x14:formula1>
          <xm:sqref>B4</xm:sqref>
        </x14:dataValidation>
        <x14:dataValidation type="list" allowBlank="1" showInputMessage="1" showErrorMessage="1">
          <x14:formula1>
            <xm:f>form_data!$D$15:$D$21</xm:f>
          </x14:formula1>
          <xm:sqref>B11</xm:sqref>
        </x14:dataValidation>
        <x14:dataValidation type="list" allowBlank="1" showInputMessage="1" showErrorMessage="1">
          <x14:formula1>
            <xm:f>form_data!$D$31:$D$32</xm:f>
          </x14:formula1>
          <xm:sqref>B23</xm:sqref>
        </x14:dataValidation>
        <x14:dataValidation type="list" allowBlank="1" showInputMessage="1" showErrorMessage="1" errorTitle="must be choosed!" error="you have to notice the sample nature">
          <x14:formula1>
            <xm:f>form_data!$A$2:$A$6</xm:f>
          </x14:formula1>
          <xm:sqref>B1</xm:sqref>
        </x14:dataValidation>
        <x14:dataValidation type="list" allowBlank="1" showInputMessage="1" showErrorMessage="1">
          <x14:formula1>
            <xm:f>form_data!$D$35:$D$36</xm:f>
          </x14:formula1>
          <xm:sqref>B43</xm:sqref>
        </x14:dataValidation>
        <x14:dataValidation type="list" showInputMessage="1" showErrorMessage="1">
          <x14:formula1>
            <xm:f>form_data!$B$2:$B$15</xm:f>
          </x14:formula1>
          <xm:sqref>B63</xm:sqref>
        </x14:dataValidation>
        <x14:dataValidation type="list" allowBlank="1" showInputMessage="1" showErrorMessage="1">
          <x14:formula1>
            <xm:f>form_data!$C$2:$C$23</xm:f>
          </x14:formula1>
          <xm:sqref>B64</xm:sqref>
        </x14:dataValidation>
        <x14:dataValidation type="list" showInputMessage="1" showErrorMessage="1">
          <x14:formula1>
            <xm:f>form_data!$A$12:$A$20</xm:f>
          </x14:formula1>
          <xm:sqref>B18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F41"/>
  <sheetViews>
    <sheetView topLeftCell="A19" workbookViewId="0">
      <selection activeCell="B20" sqref="B20"/>
    </sheetView>
  </sheetViews>
  <sheetFormatPr baseColWidth="10" defaultRowHeight="15" x14ac:dyDescent="0"/>
  <cols>
    <col min="1" max="1" width="26.6640625" bestFit="1" customWidth="1"/>
    <col min="2" max="2" width="13.5" bestFit="1" customWidth="1"/>
  </cols>
  <sheetData>
    <row r="1" spans="1:2" ht="16" hidden="1" thickBot="1">
      <c r="A1" s="37" t="s">
        <v>7</v>
      </c>
      <c r="B1" s="36" t="s">
        <v>76</v>
      </c>
    </row>
    <row r="2" spans="1:2" ht="16" hidden="1" thickBot="1"/>
    <row r="3" spans="1:2" hidden="1">
      <c r="A3" s="248" t="s">
        <v>180</v>
      </c>
      <c r="B3" s="249"/>
    </row>
    <row r="4" spans="1:2" hidden="1">
      <c r="A4" s="22" t="s">
        <v>79</v>
      </c>
      <c r="B4" s="19"/>
    </row>
    <row r="5" spans="1:2" ht="16" hidden="1" thickBot="1">
      <c r="A5" s="23" t="s">
        <v>80</v>
      </c>
      <c r="B5" s="33"/>
    </row>
    <row r="6" spans="1:2" ht="16" hidden="1" thickBot="1"/>
    <row r="7" spans="1:2" hidden="1">
      <c r="A7" s="248" t="s">
        <v>179</v>
      </c>
      <c r="B7" s="249"/>
    </row>
    <row r="8" spans="1:2" hidden="1">
      <c r="A8" s="22" t="s">
        <v>181</v>
      </c>
      <c r="B8" s="46"/>
    </row>
    <row r="9" spans="1:2" hidden="1">
      <c r="A9" s="22" t="s">
        <v>182</v>
      </c>
      <c r="B9" s="47"/>
    </row>
    <row r="10" spans="1:2" hidden="1">
      <c r="A10" s="22" t="s">
        <v>183</v>
      </c>
      <c r="B10" s="47"/>
    </row>
    <row r="11" spans="1:2" hidden="1">
      <c r="A11" s="22" t="s">
        <v>203</v>
      </c>
      <c r="B11" s="19"/>
    </row>
    <row r="12" spans="1:2" hidden="1">
      <c r="A12" s="22" t="s">
        <v>185</v>
      </c>
      <c r="B12" s="19"/>
    </row>
    <row r="13" spans="1:2" hidden="1">
      <c r="A13" s="22" t="s">
        <v>186</v>
      </c>
      <c r="B13" s="19"/>
    </row>
    <row r="14" spans="1:2" hidden="1">
      <c r="A14" s="22" t="s">
        <v>204</v>
      </c>
      <c r="B14" s="19"/>
    </row>
    <row r="15" spans="1:2" hidden="1">
      <c r="A15" s="22" t="s">
        <v>205</v>
      </c>
      <c r="B15" s="19"/>
    </row>
    <row r="16" spans="1:2" hidden="1">
      <c r="A16" s="39" t="s">
        <v>27</v>
      </c>
      <c r="B16" s="19"/>
    </row>
    <row r="17" spans="1:6" ht="16" hidden="1" thickBot="1">
      <c r="A17" s="40" t="s">
        <v>28</v>
      </c>
      <c r="B17" s="33"/>
    </row>
    <row r="18" spans="1:6" ht="16" hidden="1" thickBot="1">
      <c r="A18" s="20"/>
    </row>
    <row r="19" spans="1:6">
      <c r="A19" s="248" t="s">
        <v>178</v>
      </c>
      <c r="B19" s="250"/>
      <c r="C19" s="250"/>
      <c r="D19" s="249"/>
      <c r="E19" s="133" t="s">
        <v>290</v>
      </c>
    </row>
    <row r="20" spans="1:6">
      <c r="A20" s="22" t="s">
        <v>181</v>
      </c>
      <c r="B20" s="219"/>
      <c r="C20" s="42"/>
      <c r="D20" s="43"/>
      <c r="F20" s="164" t="s">
        <v>227</v>
      </c>
    </row>
    <row r="21" spans="1:6">
      <c r="A21" s="22" t="s">
        <v>182</v>
      </c>
      <c r="B21" s="49"/>
      <c r="C21" s="44"/>
      <c r="D21" s="8"/>
      <c r="F21" s="164" t="s">
        <v>227</v>
      </c>
    </row>
    <row r="22" spans="1:6">
      <c r="A22" s="22" t="s">
        <v>403</v>
      </c>
      <c r="B22" s="49"/>
      <c r="C22" s="44"/>
      <c r="D22" s="8"/>
      <c r="F22" s="164"/>
    </row>
    <row r="23" spans="1:6">
      <c r="A23" s="22" t="s">
        <v>183</v>
      </c>
      <c r="B23" s="49"/>
      <c r="C23" s="44"/>
      <c r="D23" s="8"/>
      <c r="E23" s="41"/>
    </row>
    <row r="24" spans="1:6">
      <c r="A24" s="22" t="s">
        <v>184</v>
      </c>
      <c r="B24" s="49"/>
      <c r="C24" s="44"/>
      <c r="D24" s="8"/>
      <c r="E24" s="90" t="s">
        <v>225</v>
      </c>
    </row>
    <row r="25" spans="1:6">
      <c r="A25" s="22" t="s">
        <v>185</v>
      </c>
      <c r="B25" s="49"/>
      <c r="C25" s="44"/>
      <c r="D25" s="8"/>
      <c r="E25" s="90" t="s">
        <v>225</v>
      </c>
    </row>
    <row r="26" spans="1:6">
      <c r="A26" s="22" t="s">
        <v>186</v>
      </c>
      <c r="B26" s="49"/>
      <c r="C26" s="44"/>
      <c r="D26" s="8"/>
      <c r="E26" s="90" t="s">
        <v>225</v>
      </c>
    </row>
    <row r="27" spans="1:6">
      <c r="A27" s="22" t="s">
        <v>187</v>
      </c>
      <c r="B27" s="49"/>
      <c r="C27" s="44"/>
      <c r="D27" s="8"/>
      <c r="E27" s="41"/>
    </row>
    <row r="28" spans="1:6">
      <c r="A28" s="39" t="s">
        <v>29</v>
      </c>
      <c r="B28" s="49"/>
      <c r="C28" s="44"/>
      <c r="D28" s="8"/>
      <c r="F28" s="164" t="s">
        <v>227</v>
      </c>
    </row>
    <row r="29" spans="1:6">
      <c r="A29" s="39" t="s">
        <v>188</v>
      </c>
      <c r="B29" s="49"/>
      <c r="C29" s="44"/>
      <c r="D29" s="8"/>
      <c r="E29" s="164"/>
    </row>
    <row r="30" spans="1:6">
      <c r="A30" s="39" t="s">
        <v>189</v>
      </c>
      <c r="B30" s="49"/>
      <c r="C30" s="44"/>
      <c r="D30" s="8"/>
      <c r="F30" s="164" t="s">
        <v>227</v>
      </c>
    </row>
    <row r="31" spans="1:6">
      <c r="A31" s="39" t="s">
        <v>190</v>
      </c>
      <c r="B31" s="49"/>
      <c r="C31" s="44"/>
      <c r="D31" s="8"/>
      <c r="E31" s="91" t="s">
        <v>444</v>
      </c>
    </row>
    <row r="32" spans="1:6">
      <c r="A32" s="39" t="s">
        <v>191</v>
      </c>
      <c r="B32" s="49"/>
      <c r="C32" s="44"/>
      <c r="D32" s="8"/>
      <c r="F32" s="164" t="s">
        <v>227</v>
      </c>
    </row>
    <row r="33" spans="1:5">
      <c r="A33" s="39" t="s">
        <v>192</v>
      </c>
      <c r="B33" s="48"/>
      <c r="C33" s="44"/>
      <c r="D33" s="8"/>
      <c r="E33" s="91" t="s">
        <v>444</v>
      </c>
    </row>
    <row r="34" spans="1:5">
      <c r="A34" s="251" t="s">
        <v>423</v>
      </c>
      <c r="B34" s="50" t="s">
        <v>21</v>
      </c>
      <c r="C34" s="21" t="s">
        <v>22</v>
      </c>
      <c r="D34" s="11" t="s">
        <v>23</v>
      </c>
    </row>
    <row r="35" spans="1:5">
      <c r="A35" s="252"/>
      <c r="B35" s="50"/>
      <c r="C35" s="49"/>
      <c r="D35" s="19"/>
    </row>
    <row r="36" spans="1:5">
      <c r="A36" s="252"/>
      <c r="B36" s="50"/>
      <c r="C36" s="49"/>
      <c r="D36" s="19"/>
    </row>
    <row r="37" spans="1:5">
      <c r="A37" s="252"/>
      <c r="B37" s="50"/>
      <c r="C37" s="49"/>
      <c r="D37" s="19"/>
    </row>
    <row r="38" spans="1:5">
      <c r="A38" s="252"/>
      <c r="B38" s="50"/>
      <c r="C38" s="49"/>
      <c r="D38" s="19"/>
    </row>
    <row r="39" spans="1:5">
      <c r="A39" s="252"/>
      <c r="B39" s="50"/>
      <c r="C39" s="49"/>
      <c r="D39" s="19"/>
    </row>
    <row r="40" spans="1:5">
      <c r="A40" s="252"/>
      <c r="B40" s="50"/>
      <c r="C40" s="49"/>
      <c r="D40" s="19"/>
    </row>
    <row r="41" spans="1:5" ht="16" thickBot="1">
      <c r="A41" s="253"/>
      <c r="B41" s="51"/>
      <c r="C41" s="52"/>
      <c r="D41" s="33"/>
    </row>
  </sheetData>
  <mergeCells count="4">
    <mergeCell ref="A3:B3"/>
    <mergeCell ref="A7:B7"/>
    <mergeCell ref="A19:D19"/>
    <mergeCell ref="A34:A41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878B692D-10CC-1B40-847C-465B2EC522C5}">
            <xm:f>$B$1&lt;&gt;form_data!$E$2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7" id="{12D31A27-9AD4-6645-8E8B-BD275660F86C}">
            <xm:f>$B$1=form_data!$E$2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A3:B5</xm:sqref>
        </x14:conditionalFormatting>
        <x14:conditionalFormatting xmlns:xm="http://schemas.microsoft.com/office/excel/2006/main">
          <x14:cfRule type="expression" priority="4" id="{3668578D-F034-5F4E-A0F6-C9CF35A45598}">
            <xm:f>$B$1=form_data!$E$3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id="{836BD1EC-D5C4-9241-93E7-75F9DD7CD7E4}">
            <xm:f>$B$1&lt;&gt;form_data!$E$3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A7:B17</xm:sqref>
        </x14:conditionalFormatting>
        <x14:conditionalFormatting xmlns:xm="http://schemas.microsoft.com/office/excel/2006/main">
          <x14:cfRule type="expression" priority="1" id="{0C929168-0D35-8345-B455-9E7857DB5483}">
            <xm:f>$B$1=form_data!$E$4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65FD2B34-F02A-C641-9104-B828A8E20A48}">
            <xm:f>$B$1&lt;&gt;form_data!$E$4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A19:D41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form_data!$G$61:$G$75</xm:f>
          </x14:formula1>
          <xm:sqref>B32</xm:sqref>
        </x14:dataValidation>
        <x14:dataValidation type="list" allowBlank="1" showInputMessage="1" showErrorMessage="1">
          <x14:formula1>
            <xm:f>form_data!$E$2:$E$5</xm:f>
          </x14:formula1>
          <xm:sqref>B1</xm:sqref>
        </x14:dataValidation>
        <x14:dataValidation type="list" allowBlank="1" showInputMessage="1" showErrorMessage="1">
          <x14:formula1>
            <xm:f>form_data!$F$5:$F$7</xm:f>
          </x14:formula1>
          <xm:sqref>B17</xm:sqref>
        </x14:dataValidation>
        <x14:dataValidation type="list" allowBlank="1" showInputMessage="1" showErrorMessage="1">
          <x14:formula1>
            <xm:f>form_data!$G$37:$G$39</xm:f>
          </x14:formula1>
          <xm:sqref>B28</xm:sqref>
        </x14:dataValidation>
        <x14:dataValidation type="list" allowBlank="1" showInputMessage="1" showErrorMessage="1">
          <x14:formula1>
            <xm:f>form_data!$F$10:$F$16</xm:f>
          </x14:formula1>
          <xm:sqref>B9</xm:sqref>
        </x14:dataValidation>
        <x14:dataValidation type="list" allowBlank="1" showInputMessage="1" showErrorMessage="1">
          <x14:formula1>
            <xm:f>form_data!$G$61:$G$75</xm:f>
          </x14:formula1>
          <xm:sqref>B30</xm:sqref>
        </x14:dataValidation>
        <x14:dataValidation type="list" allowBlank="1" showInputMessage="1" showErrorMessage="1">
          <x14:formula1>
            <xm:f>form_data!$G$42:$G$58</xm:f>
          </x14:formula1>
          <xm:sqref>B21</xm:sqref>
        </x14:dataValidation>
        <x14:dataValidation type="list" allowBlank="1" showInputMessage="1" showErrorMessage="1">
          <x14:formula1>
            <xm:f>form_data!$G$2:$G$31</xm:f>
          </x14:formula1>
          <xm:sqref>B20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T100"/>
  <sheetViews>
    <sheetView workbookViewId="0">
      <selection activeCell="B2" sqref="B2"/>
    </sheetView>
  </sheetViews>
  <sheetFormatPr baseColWidth="10" defaultRowHeight="15" x14ac:dyDescent="0"/>
  <cols>
    <col min="1" max="1" width="27.5" bestFit="1" customWidth="1"/>
    <col min="2" max="2" width="15.5" customWidth="1"/>
    <col min="3" max="3" width="15.83203125" customWidth="1"/>
    <col min="4" max="9" width="15.83203125" hidden="1" customWidth="1"/>
    <col min="10" max="10" width="7" hidden="1" customWidth="1"/>
    <col min="11" max="11" width="14.6640625" hidden="1" customWidth="1"/>
    <col min="12" max="12" width="15.1640625" hidden="1" customWidth="1"/>
    <col min="13" max="14" width="13.83203125" customWidth="1"/>
    <col min="15" max="15" width="14.33203125" bestFit="1" customWidth="1"/>
    <col min="16" max="16" width="12.6640625" bestFit="1" customWidth="1"/>
  </cols>
  <sheetData>
    <row r="1" spans="1:17">
      <c r="A1" s="254" t="s">
        <v>202</v>
      </c>
      <c r="B1" s="255"/>
    </row>
    <row r="2" spans="1:17">
      <c r="A2" s="53" t="s">
        <v>193</v>
      </c>
      <c r="B2" s="54"/>
    </row>
    <row r="3" spans="1:17">
      <c r="A3" s="53" t="s">
        <v>194</v>
      </c>
      <c r="B3" s="54"/>
    </row>
    <row r="4" spans="1:17">
      <c r="A4" s="53" t="s">
        <v>195</v>
      </c>
      <c r="B4" s="54"/>
      <c r="C4" t="s">
        <v>427</v>
      </c>
    </row>
    <row r="5" spans="1:17">
      <c r="A5" s="53" t="s">
        <v>500</v>
      </c>
      <c r="B5" s="54"/>
      <c r="C5" t="s">
        <v>498</v>
      </c>
    </row>
    <row r="6" spans="1:17" hidden="1">
      <c r="A6" s="53" t="s">
        <v>196</v>
      </c>
      <c r="B6" s="54"/>
    </row>
    <row r="7" spans="1:17" ht="16" hidden="1" thickBot="1">
      <c r="A7" s="55" t="s">
        <v>197</v>
      </c>
      <c r="B7" s="84"/>
    </row>
    <row r="8" spans="1:17" ht="16" thickBot="1">
      <c r="Q8" t="s">
        <v>499</v>
      </c>
    </row>
    <row r="9" spans="1:17">
      <c r="A9" s="213" t="s">
        <v>422</v>
      </c>
      <c r="B9" s="215" t="s">
        <v>410</v>
      </c>
      <c r="C9" s="214" t="s">
        <v>411</v>
      </c>
    </row>
    <row r="10" spans="1:17">
      <c r="A10" s="81" t="s">
        <v>426</v>
      </c>
      <c r="B10" s="216"/>
      <c r="C10" s="68"/>
      <c r="M10" t="s">
        <v>227</v>
      </c>
    </row>
    <row r="11" spans="1:17">
      <c r="A11" s="81" t="s">
        <v>198</v>
      </c>
      <c r="B11" s="216"/>
      <c r="C11" s="68"/>
      <c r="M11" t="s">
        <v>440</v>
      </c>
    </row>
    <row r="12" spans="1:17">
      <c r="A12" s="81" t="s">
        <v>199</v>
      </c>
      <c r="B12" s="216"/>
      <c r="C12" s="68"/>
      <c r="M12" t="s">
        <v>440</v>
      </c>
    </row>
    <row r="13" spans="1:17">
      <c r="A13" s="81" t="s">
        <v>421</v>
      </c>
      <c r="B13" s="216"/>
      <c r="C13" s="68"/>
      <c r="M13" t="s">
        <v>428</v>
      </c>
    </row>
    <row r="14" spans="1:17">
      <c r="A14" s="81" t="s">
        <v>200</v>
      </c>
      <c r="B14" s="216"/>
      <c r="C14" s="68"/>
      <c r="M14" t="s">
        <v>440</v>
      </c>
    </row>
    <row r="15" spans="1:17" ht="30">
      <c r="A15" s="82" t="s">
        <v>224</v>
      </c>
      <c r="B15" s="216"/>
      <c r="C15" s="68"/>
      <c r="M15" t="s">
        <v>428</v>
      </c>
    </row>
    <row r="16" spans="1:17" ht="31" thickBot="1">
      <c r="A16" s="83" t="s">
        <v>201</v>
      </c>
      <c r="B16" s="217"/>
      <c r="C16" s="69"/>
      <c r="M16" t="s">
        <v>441</v>
      </c>
    </row>
    <row r="18" spans="1:20" ht="16" thickBot="1">
      <c r="E18" s="85"/>
      <c r="F18" s="85"/>
    </row>
    <row r="19" spans="1:20" ht="30" customHeight="1">
      <c r="A19" s="156" t="s">
        <v>276</v>
      </c>
      <c r="B19" s="89" t="s">
        <v>35</v>
      </c>
      <c r="C19" s="89" t="s">
        <v>279</v>
      </c>
      <c r="D19" s="89" t="s">
        <v>278</v>
      </c>
      <c r="E19" s="89" t="s">
        <v>286</v>
      </c>
      <c r="F19" s="89" t="s">
        <v>287</v>
      </c>
      <c r="G19" s="88" t="s">
        <v>283</v>
      </c>
      <c r="H19" s="88" t="s">
        <v>283</v>
      </c>
      <c r="I19" s="262" t="s">
        <v>206</v>
      </c>
      <c r="J19" s="262" t="s">
        <v>207</v>
      </c>
      <c r="K19" s="262" t="s">
        <v>288</v>
      </c>
      <c r="L19" s="260" t="s">
        <v>289</v>
      </c>
      <c r="M19" s="259" t="s">
        <v>215</v>
      </c>
      <c r="N19" s="259"/>
      <c r="O19" s="256" t="s">
        <v>212</v>
      </c>
      <c r="P19" s="256"/>
      <c r="Q19" s="259" t="s">
        <v>48</v>
      </c>
      <c r="R19" s="259"/>
      <c r="S19" s="257" t="s">
        <v>141</v>
      </c>
    </row>
    <row r="20" spans="1:20" ht="30" customHeight="1" thickBot="1">
      <c r="A20" s="158" t="s">
        <v>277</v>
      </c>
      <c r="B20" s="159" t="s">
        <v>277</v>
      </c>
      <c r="C20" s="159" t="s">
        <v>277</v>
      </c>
      <c r="D20" s="162" t="s">
        <v>280</v>
      </c>
      <c r="E20" s="161" t="s">
        <v>209</v>
      </c>
      <c r="F20" s="161" t="s">
        <v>208</v>
      </c>
      <c r="G20" s="163" t="s">
        <v>284</v>
      </c>
      <c r="H20" s="163" t="s">
        <v>285</v>
      </c>
      <c r="I20" s="263"/>
      <c r="J20" s="263"/>
      <c r="K20" s="263"/>
      <c r="L20" s="261"/>
      <c r="M20" s="160" t="s">
        <v>32</v>
      </c>
      <c r="N20" s="160" t="s">
        <v>33</v>
      </c>
      <c r="O20" s="160" t="s">
        <v>210</v>
      </c>
      <c r="P20" s="160" t="s">
        <v>211</v>
      </c>
      <c r="Q20" s="160" t="s">
        <v>65</v>
      </c>
      <c r="R20" s="160" t="s">
        <v>66</v>
      </c>
      <c r="S20" s="258"/>
    </row>
    <row r="21" spans="1:20">
      <c r="A21" s="72" t="s">
        <v>136</v>
      </c>
      <c r="B21" s="73"/>
      <c r="C21" s="146"/>
      <c r="D21" s="146"/>
      <c r="E21" s="157"/>
      <c r="F21" s="157"/>
      <c r="G21" s="157"/>
      <c r="H21" s="157"/>
      <c r="I21" s="157"/>
      <c r="J21" s="157"/>
      <c r="K21" s="157"/>
      <c r="L21" s="157"/>
      <c r="M21" s="73"/>
      <c r="N21" s="73"/>
      <c r="O21" s="73"/>
      <c r="P21" s="73"/>
      <c r="Q21" s="73"/>
      <c r="R21" s="73"/>
      <c r="S21" s="30"/>
      <c r="T21" s="78"/>
    </row>
    <row r="22" spans="1:20">
      <c r="A22" s="72" t="s">
        <v>136</v>
      </c>
      <c r="B22" s="29"/>
      <c r="C22" s="146"/>
      <c r="D22" s="146"/>
      <c r="E22" s="157"/>
      <c r="F22" s="157"/>
      <c r="G22" s="157"/>
      <c r="H22" s="157"/>
      <c r="I22" s="157"/>
      <c r="J22" s="157"/>
      <c r="K22" s="157"/>
      <c r="L22" s="157"/>
      <c r="M22" s="29"/>
      <c r="N22" s="29"/>
      <c r="O22" s="29"/>
      <c r="P22" s="29"/>
      <c r="Q22" s="29"/>
      <c r="R22" s="29"/>
      <c r="S22" s="30"/>
      <c r="T22" s="78"/>
    </row>
    <row r="23" spans="1:20">
      <c r="A23" s="72" t="s">
        <v>136</v>
      </c>
      <c r="B23" s="29"/>
      <c r="C23" s="146"/>
      <c r="D23" s="146"/>
      <c r="E23" s="157"/>
      <c r="F23" s="157"/>
      <c r="G23" s="157"/>
      <c r="H23" s="157"/>
      <c r="I23" s="157"/>
      <c r="J23" s="157"/>
      <c r="K23" s="157"/>
      <c r="L23" s="157"/>
      <c r="M23" s="29"/>
      <c r="N23" s="29"/>
      <c r="O23" s="29"/>
      <c r="P23" s="29"/>
      <c r="Q23" s="29"/>
      <c r="R23" s="29"/>
      <c r="S23" s="30"/>
      <c r="T23" s="78"/>
    </row>
    <row r="24" spans="1:20">
      <c r="A24" s="72" t="s">
        <v>136</v>
      </c>
      <c r="B24" s="29"/>
      <c r="C24" s="146"/>
      <c r="D24" s="146"/>
      <c r="E24" s="157"/>
      <c r="F24" s="157"/>
      <c r="G24" s="157"/>
      <c r="H24" s="157"/>
      <c r="I24" s="157"/>
      <c r="J24" s="157"/>
      <c r="K24" s="157"/>
      <c r="L24" s="157"/>
      <c r="M24" s="29"/>
      <c r="N24" s="29"/>
      <c r="O24" s="29"/>
      <c r="P24" s="29"/>
      <c r="Q24" s="29"/>
      <c r="R24" s="29"/>
      <c r="S24" s="30"/>
      <c r="T24" s="78"/>
    </row>
    <row r="25" spans="1:20">
      <c r="A25" s="72" t="s">
        <v>136</v>
      </c>
      <c r="B25" s="29"/>
      <c r="C25" s="146"/>
      <c r="D25" s="146"/>
      <c r="E25" s="157"/>
      <c r="F25" s="157"/>
      <c r="G25" s="157"/>
      <c r="H25" s="157"/>
      <c r="I25" s="157"/>
      <c r="J25" s="157"/>
      <c r="K25" s="157"/>
      <c r="L25" s="157"/>
      <c r="M25" s="29"/>
      <c r="N25" s="29"/>
      <c r="O25" s="29"/>
      <c r="P25" s="29"/>
      <c r="Q25" s="29"/>
      <c r="R25" s="29"/>
      <c r="S25" s="30"/>
      <c r="T25" s="78"/>
    </row>
    <row r="26" spans="1:20">
      <c r="A26" s="72" t="s">
        <v>136</v>
      </c>
      <c r="B26" s="29"/>
      <c r="C26" s="146"/>
      <c r="D26" s="146"/>
      <c r="E26" s="157"/>
      <c r="F26" s="157"/>
      <c r="G26" s="157"/>
      <c r="H26" s="157"/>
      <c r="I26" s="157"/>
      <c r="J26" s="157"/>
      <c r="K26" s="157"/>
      <c r="L26" s="157"/>
      <c r="M26" s="29"/>
      <c r="N26" s="29"/>
      <c r="O26" s="29"/>
      <c r="P26" s="29"/>
      <c r="Q26" s="29"/>
      <c r="R26" s="29"/>
      <c r="S26" s="30"/>
      <c r="T26" s="78"/>
    </row>
    <row r="27" spans="1:20">
      <c r="A27" s="72" t="s">
        <v>136</v>
      </c>
      <c r="B27" s="29"/>
      <c r="C27" s="146"/>
      <c r="D27" s="146"/>
      <c r="E27" s="157"/>
      <c r="F27" s="157"/>
      <c r="G27" s="157"/>
      <c r="H27" s="157"/>
      <c r="I27" s="157"/>
      <c r="J27" s="157"/>
      <c r="K27" s="157"/>
      <c r="L27" s="157"/>
      <c r="M27" s="29"/>
      <c r="N27" s="29"/>
      <c r="O27" s="29"/>
      <c r="P27" s="29"/>
      <c r="Q27" s="29"/>
      <c r="R27" s="29"/>
      <c r="S27" s="30"/>
      <c r="T27" s="78"/>
    </row>
    <row r="28" spans="1:20">
      <c r="A28" s="72" t="s">
        <v>136</v>
      </c>
      <c r="B28" s="29"/>
      <c r="C28" s="146"/>
      <c r="D28" s="146"/>
      <c r="E28" s="157"/>
      <c r="F28" s="157"/>
      <c r="G28" s="157"/>
      <c r="H28" s="157"/>
      <c r="I28" s="157"/>
      <c r="J28" s="157"/>
      <c r="K28" s="157"/>
      <c r="L28" s="157"/>
      <c r="M28" s="29"/>
      <c r="N28" s="29"/>
      <c r="O28" s="29"/>
      <c r="P28" s="29"/>
      <c r="Q28" s="29"/>
      <c r="R28" s="29"/>
      <c r="S28" s="30"/>
      <c r="T28" s="78"/>
    </row>
    <row r="29" spans="1:20">
      <c r="A29" s="72" t="s">
        <v>136</v>
      </c>
      <c r="B29" s="29"/>
      <c r="C29" s="146"/>
      <c r="D29" s="146"/>
      <c r="E29" s="157"/>
      <c r="F29" s="157"/>
      <c r="G29" s="157"/>
      <c r="H29" s="157"/>
      <c r="I29" s="157"/>
      <c r="J29" s="157"/>
      <c r="K29" s="157"/>
      <c r="L29" s="157"/>
      <c r="M29" s="29"/>
      <c r="N29" s="29"/>
      <c r="O29" s="29"/>
      <c r="P29" s="29"/>
      <c r="Q29" s="29"/>
      <c r="R29" s="29"/>
      <c r="S29" s="30"/>
      <c r="T29" s="78"/>
    </row>
    <row r="30" spans="1:20">
      <c r="A30" s="72" t="s">
        <v>136</v>
      </c>
      <c r="B30" s="29"/>
      <c r="C30" s="146"/>
      <c r="D30" s="146"/>
      <c r="E30" s="157"/>
      <c r="F30" s="157"/>
      <c r="G30" s="157"/>
      <c r="H30" s="157"/>
      <c r="I30" s="157"/>
      <c r="J30" s="157"/>
      <c r="K30" s="157"/>
      <c r="L30" s="157"/>
      <c r="M30" s="29"/>
      <c r="N30" s="29"/>
      <c r="O30" s="29"/>
      <c r="P30" s="29"/>
      <c r="Q30" s="29"/>
      <c r="R30" s="29"/>
      <c r="S30" s="30"/>
      <c r="T30" s="78"/>
    </row>
    <row r="31" spans="1:20">
      <c r="A31" s="72" t="s">
        <v>136</v>
      </c>
      <c r="B31" s="29"/>
      <c r="C31" s="146"/>
      <c r="D31" s="146"/>
      <c r="E31" s="157"/>
      <c r="F31" s="157"/>
      <c r="G31" s="157"/>
      <c r="H31" s="157"/>
      <c r="I31" s="157"/>
      <c r="J31" s="157"/>
      <c r="K31" s="157"/>
      <c r="L31" s="157"/>
      <c r="M31" s="29"/>
      <c r="N31" s="29"/>
      <c r="O31" s="29"/>
      <c r="P31" s="29"/>
      <c r="Q31" s="29"/>
      <c r="R31" s="29"/>
      <c r="S31" s="30"/>
      <c r="T31" s="78"/>
    </row>
    <row r="32" spans="1:20">
      <c r="A32" s="72" t="s">
        <v>136</v>
      </c>
      <c r="B32" s="29"/>
      <c r="C32" s="146"/>
      <c r="D32" s="146"/>
      <c r="E32" s="157"/>
      <c r="F32" s="157"/>
      <c r="G32" s="157"/>
      <c r="H32" s="157"/>
      <c r="I32" s="157"/>
      <c r="J32" s="157"/>
      <c r="K32" s="157"/>
      <c r="L32" s="157"/>
      <c r="M32" s="29"/>
      <c r="N32" s="29"/>
      <c r="O32" s="29"/>
      <c r="P32" s="29"/>
      <c r="Q32" s="29"/>
      <c r="R32" s="29"/>
      <c r="S32" s="30"/>
      <c r="T32" s="78"/>
    </row>
    <row r="33" spans="1:20">
      <c r="A33" s="72" t="s">
        <v>136</v>
      </c>
      <c r="B33" s="29"/>
      <c r="C33" s="146"/>
      <c r="D33" s="146"/>
      <c r="E33" s="157"/>
      <c r="F33" s="157"/>
      <c r="G33" s="157"/>
      <c r="H33" s="157"/>
      <c r="I33" s="157"/>
      <c r="J33" s="157"/>
      <c r="K33" s="157"/>
      <c r="L33" s="157"/>
      <c r="M33" s="29"/>
      <c r="N33" s="29"/>
      <c r="O33" s="29"/>
      <c r="P33" s="29"/>
      <c r="Q33" s="29"/>
      <c r="R33" s="29"/>
      <c r="S33" s="30"/>
      <c r="T33" s="78"/>
    </row>
    <row r="34" spans="1:20">
      <c r="A34" s="72" t="s">
        <v>136</v>
      </c>
      <c r="B34" s="29"/>
      <c r="C34" s="146"/>
      <c r="D34" s="146"/>
      <c r="E34" s="157"/>
      <c r="F34" s="157"/>
      <c r="G34" s="157"/>
      <c r="H34" s="157"/>
      <c r="I34" s="157"/>
      <c r="J34" s="157"/>
      <c r="K34" s="157"/>
      <c r="L34" s="157"/>
      <c r="M34" s="29"/>
      <c r="N34" s="29"/>
      <c r="O34" s="29"/>
      <c r="P34" s="29"/>
      <c r="Q34" s="29"/>
      <c r="R34" s="29"/>
      <c r="S34" s="30"/>
      <c r="T34" s="78"/>
    </row>
    <row r="35" spans="1:20">
      <c r="A35" s="72" t="s">
        <v>136</v>
      </c>
      <c r="B35" s="29"/>
      <c r="C35" s="146"/>
      <c r="D35" s="146"/>
      <c r="E35" s="157"/>
      <c r="F35" s="157"/>
      <c r="G35" s="157"/>
      <c r="H35" s="157"/>
      <c r="I35" s="157"/>
      <c r="J35" s="157"/>
      <c r="K35" s="157"/>
      <c r="L35" s="157"/>
      <c r="M35" s="29"/>
      <c r="N35" s="29"/>
      <c r="O35" s="29"/>
      <c r="P35" s="29"/>
      <c r="Q35" s="29"/>
      <c r="R35" s="29"/>
      <c r="S35" s="30"/>
      <c r="T35" s="78"/>
    </row>
    <row r="36" spans="1:20">
      <c r="A36" s="72" t="s">
        <v>136</v>
      </c>
      <c r="B36" s="29"/>
      <c r="C36" s="146"/>
      <c r="D36" s="146"/>
      <c r="E36" s="157"/>
      <c r="F36" s="157"/>
      <c r="G36" s="157"/>
      <c r="H36" s="157"/>
      <c r="I36" s="157"/>
      <c r="J36" s="157"/>
      <c r="K36" s="157"/>
      <c r="L36" s="157"/>
      <c r="M36" s="29"/>
      <c r="N36" s="29"/>
      <c r="O36" s="29"/>
      <c r="P36" s="29"/>
      <c r="Q36" s="29"/>
      <c r="R36" s="29"/>
      <c r="S36" s="30"/>
      <c r="T36" s="78"/>
    </row>
    <row r="37" spans="1:20">
      <c r="A37" s="72" t="s">
        <v>136</v>
      </c>
      <c r="B37" s="29"/>
      <c r="C37" s="146"/>
      <c r="D37" s="146"/>
      <c r="E37" s="157"/>
      <c r="F37" s="157"/>
      <c r="G37" s="157"/>
      <c r="H37" s="157"/>
      <c r="I37" s="157"/>
      <c r="J37" s="157"/>
      <c r="K37" s="157"/>
      <c r="L37" s="157"/>
      <c r="M37" s="29"/>
      <c r="N37" s="29"/>
      <c r="O37" s="29"/>
      <c r="P37" s="29"/>
      <c r="Q37" s="29"/>
      <c r="R37" s="29"/>
      <c r="S37" s="30"/>
      <c r="T37" s="78"/>
    </row>
    <row r="38" spans="1:20">
      <c r="A38" s="72" t="s">
        <v>136</v>
      </c>
      <c r="B38" s="29"/>
      <c r="C38" s="146"/>
      <c r="D38" s="146"/>
      <c r="E38" s="157"/>
      <c r="F38" s="157"/>
      <c r="G38" s="157"/>
      <c r="H38" s="157"/>
      <c r="I38" s="157"/>
      <c r="J38" s="157"/>
      <c r="K38" s="157"/>
      <c r="L38" s="157"/>
      <c r="M38" s="29"/>
      <c r="N38" s="29"/>
      <c r="O38" s="29"/>
      <c r="P38" s="29"/>
      <c r="Q38" s="29"/>
      <c r="R38" s="29"/>
      <c r="S38" s="30"/>
      <c r="T38" s="78"/>
    </row>
    <row r="39" spans="1:20">
      <c r="A39" s="72" t="s">
        <v>136</v>
      </c>
      <c r="B39" s="29"/>
      <c r="C39" s="146"/>
      <c r="D39" s="146"/>
      <c r="E39" s="157"/>
      <c r="F39" s="157"/>
      <c r="G39" s="157"/>
      <c r="H39" s="157"/>
      <c r="I39" s="157"/>
      <c r="J39" s="157"/>
      <c r="K39" s="157"/>
      <c r="L39" s="157"/>
      <c r="M39" s="29"/>
      <c r="N39" s="29"/>
      <c r="O39" s="29"/>
      <c r="P39" s="29"/>
      <c r="Q39" s="29"/>
      <c r="R39" s="29"/>
      <c r="S39" s="30"/>
      <c r="T39" s="78"/>
    </row>
    <row r="40" spans="1:20">
      <c r="A40" s="72" t="s">
        <v>136</v>
      </c>
      <c r="B40" s="29"/>
      <c r="C40" s="146"/>
      <c r="D40" s="146"/>
      <c r="E40" s="157"/>
      <c r="F40" s="157"/>
      <c r="G40" s="157"/>
      <c r="H40" s="157"/>
      <c r="I40" s="157"/>
      <c r="J40" s="157"/>
      <c r="K40" s="157"/>
      <c r="L40" s="157"/>
      <c r="M40" s="29"/>
      <c r="N40" s="29"/>
      <c r="O40" s="29"/>
      <c r="P40" s="29"/>
      <c r="Q40" s="29"/>
      <c r="R40" s="29"/>
      <c r="S40" s="30"/>
      <c r="T40" s="78"/>
    </row>
    <row r="41" spans="1:20">
      <c r="A41" s="72" t="s">
        <v>136</v>
      </c>
      <c r="B41" s="29"/>
      <c r="C41" s="146"/>
      <c r="D41" s="146"/>
      <c r="E41" s="157"/>
      <c r="F41" s="157"/>
      <c r="G41" s="157"/>
      <c r="H41" s="157"/>
      <c r="I41" s="157"/>
      <c r="J41" s="157"/>
      <c r="K41" s="157"/>
      <c r="L41" s="157"/>
      <c r="M41" s="29"/>
      <c r="N41" s="29"/>
      <c r="O41" s="29"/>
      <c r="P41" s="29"/>
      <c r="Q41" s="29"/>
      <c r="R41" s="29"/>
      <c r="S41" s="30"/>
      <c r="T41" s="78"/>
    </row>
    <row r="42" spans="1:20">
      <c r="A42" s="72" t="s">
        <v>136</v>
      </c>
      <c r="B42" s="29"/>
      <c r="C42" s="146"/>
      <c r="D42" s="146"/>
      <c r="E42" s="157"/>
      <c r="F42" s="157"/>
      <c r="G42" s="157"/>
      <c r="H42" s="157"/>
      <c r="I42" s="157"/>
      <c r="J42" s="157"/>
      <c r="K42" s="157"/>
      <c r="L42" s="157"/>
      <c r="M42" s="29"/>
      <c r="N42" s="29"/>
      <c r="O42" s="29"/>
      <c r="P42" s="29"/>
      <c r="Q42" s="29"/>
      <c r="R42" s="29"/>
      <c r="S42" s="30"/>
      <c r="T42" s="78"/>
    </row>
    <row r="43" spans="1:20">
      <c r="A43" s="72" t="s">
        <v>136</v>
      </c>
      <c r="B43" s="29"/>
      <c r="C43" s="146"/>
      <c r="D43" s="146"/>
      <c r="E43" s="157"/>
      <c r="F43" s="157"/>
      <c r="G43" s="157"/>
      <c r="H43" s="157"/>
      <c r="I43" s="157"/>
      <c r="J43" s="157"/>
      <c r="K43" s="157"/>
      <c r="L43" s="157"/>
      <c r="M43" s="29"/>
      <c r="N43" s="29"/>
      <c r="O43" s="29"/>
      <c r="P43" s="29"/>
      <c r="Q43" s="29"/>
      <c r="R43" s="29"/>
      <c r="S43" s="30"/>
      <c r="T43" s="78"/>
    </row>
    <row r="44" spans="1:20">
      <c r="A44" s="72" t="s">
        <v>136</v>
      </c>
      <c r="B44" s="29"/>
      <c r="C44" s="146"/>
      <c r="D44" s="146"/>
      <c r="E44" s="157"/>
      <c r="F44" s="157"/>
      <c r="G44" s="157"/>
      <c r="H44" s="157"/>
      <c r="I44" s="157"/>
      <c r="J44" s="157"/>
      <c r="K44" s="157"/>
      <c r="L44" s="157"/>
      <c r="M44" s="29"/>
      <c r="N44" s="29"/>
      <c r="O44" s="29"/>
      <c r="P44" s="29"/>
      <c r="Q44" s="29"/>
      <c r="R44" s="29"/>
      <c r="S44" s="30"/>
      <c r="T44" s="78"/>
    </row>
    <row r="45" spans="1:20">
      <c r="A45" s="72" t="s">
        <v>136</v>
      </c>
      <c r="B45" s="29"/>
      <c r="C45" s="146"/>
      <c r="D45" s="146"/>
      <c r="E45" s="157"/>
      <c r="F45" s="157"/>
      <c r="G45" s="157"/>
      <c r="H45" s="157"/>
      <c r="I45" s="157"/>
      <c r="J45" s="157"/>
      <c r="K45" s="157"/>
      <c r="L45" s="157"/>
      <c r="M45" s="29"/>
      <c r="N45" s="29"/>
      <c r="O45" s="29"/>
      <c r="P45" s="29"/>
      <c r="Q45" s="29"/>
      <c r="R45" s="29"/>
      <c r="S45" s="30"/>
      <c r="T45" s="78"/>
    </row>
    <row r="46" spans="1:20">
      <c r="A46" s="72" t="s">
        <v>136</v>
      </c>
      <c r="B46" s="29"/>
      <c r="C46" s="146"/>
      <c r="D46" s="146"/>
      <c r="E46" s="157"/>
      <c r="F46" s="157"/>
      <c r="G46" s="157"/>
      <c r="H46" s="157"/>
      <c r="I46" s="157"/>
      <c r="J46" s="157"/>
      <c r="K46" s="157"/>
      <c r="L46" s="157"/>
      <c r="M46" s="29"/>
      <c r="N46" s="29"/>
      <c r="O46" s="29"/>
      <c r="P46" s="29"/>
      <c r="Q46" s="29"/>
      <c r="R46" s="29"/>
      <c r="S46" s="30"/>
      <c r="T46" s="78"/>
    </row>
    <row r="47" spans="1:20">
      <c r="A47" s="72" t="s">
        <v>136</v>
      </c>
      <c r="B47" s="29"/>
      <c r="C47" s="146"/>
      <c r="D47" s="146"/>
      <c r="E47" s="157"/>
      <c r="F47" s="157"/>
      <c r="G47" s="157"/>
      <c r="H47" s="157"/>
      <c r="I47" s="157"/>
      <c r="J47" s="157"/>
      <c r="K47" s="157"/>
      <c r="L47" s="157"/>
      <c r="M47" s="29"/>
      <c r="N47" s="29"/>
      <c r="O47" s="29"/>
      <c r="P47" s="29"/>
      <c r="Q47" s="29"/>
      <c r="R47" s="29"/>
      <c r="S47" s="30"/>
      <c r="T47" s="78"/>
    </row>
    <row r="48" spans="1:20">
      <c r="A48" s="72" t="s">
        <v>136</v>
      </c>
      <c r="B48" s="29"/>
      <c r="C48" s="146"/>
      <c r="D48" s="146"/>
      <c r="E48" s="157"/>
      <c r="F48" s="157"/>
      <c r="G48" s="157"/>
      <c r="H48" s="157"/>
      <c r="I48" s="157"/>
      <c r="J48" s="157"/>
      <c r="K48" s="157"/>
      <c r="L48" s="157"/>
      <c r="M48" s="29"/>
      <c r="N48" s="29"/>
      <c r="O48" s="29"/>
      <c r="P48" s="29"/>
      <c r="Q48" s="29"/>
      <c r="R48" s="29"/>
      <c r="S48" s="30"/>
      <c r="T48" s="78"/>
    </row>
    <row r="49" spans="1:20">
      <c r="A49" s="72" t="s">
        <v>136</v>
      </c>
      <c r="B49" s="29"/>
      <c r="C49" s="146"/>
      <c r="D49" s="146"/>
      <c r="E49" s="157"/>
      <c r="F49" s="157"/>
      <c r="G49" s="157"/>
      <c r="H49" s="157"/>
      <c r="I49" s="157"/>
      <c r="J49" s="157"/>
      <c r="K49" s="157"/>
      <c r="L49" s="157"/>
      <c r="M49" s="29"/>
      <c r="N49" s="29"/>
      <c r="O49" s="29"/>
      <c r="P49" s="29"/>
      <c r="Q49" s="29"/>
      <c r="R49" s="29"/>
      <c r="S49" s="30"/>
      <c r="T49" s="78"/>
    </row>
    <row r="50" spans="1:20">
      <c r="A50" s="72" t="s">
        <v>136</v>
      </c>
      <c r="B50" s="29"/>
      <c r="C50" s="146"/>
      <c r="D50" s="146"/>
      <c r="E50" s="157"/>
      <c r="F50" s="157"/>
      <c r="G50" s="157"/>
      <c r="H50" s="157"/>
      <c r="I50" s="157"/>
      <c r="J50" s="157"/>
      <c r="K50" s="157"/>
      <c r="L50" s="157"/>
      <c r="M50" s="29"/>
      <c r="N50" s="29"/>
      <c r="O50" s="29"/>
      <c r="P50" s="29"/>
      <c r="Q50" s="29"/>
      <c r="R50" s="29"/>
      <c r="S50" s="30"/>
      <c r="T50" s="78"/>
    </row>
    <row r="51" spans="1:20">
      <c r="A51" s="72" t="s">
        <v>136</v>
      </c>
      <c r="B51" s="29"/>
      <c r="C51" s="146"/>
      <c r="D51" s="146"/>
      <c r="E51" s="157"/>
      <c r="F51" s="157"/>
      <c r="G51" s="157"/>
      <c r="H51" s="157"/>
      <c r="I51" s="157"/>
      <c r="J51" s="157"/>
      <c r="K51" s="157"/>
      <c r="L51" s="157"/>
      <c r="M51" s="29"/>
      <c r="N51" s="29"/>
      <c r="O51" s="29"/>
      <c r="P51" s="29"/>
      <c r="Q51" s="29"/>
      <c r="R51" s="29"/>
      <c r="S51" s="30"/>
      <c r="T51" s="78"/>
    </row>
    <row r="52" spans="1:20">
      <c r="A52" s="72" t="s">
        <v>136</v>
      </c>
      <c r="B52" s="29"/>
      <c r="C52" s="146"/>
      <c r="D52" s="146"/>
      <c r="E52" s="157"/>
      <c r="F52" s="157"/>
      <c r="G52" s="157"/>
      <c r="H52" s="157"/>
      <c r="I52" s="157"/>
      <c r="J52" s="157"/>
      <c r="K52" s="157"/>
      <c r="L52" s="157"/>
      <c r="M52" s="29"/>
      <c r="N52" s="29"/>
      <c r="O52" s="29"/>
      <c r="P52" s="29"/>
      <c r="Q52" s="29"/>
      <c r="R52" s="29"/>
      <c r="S52" s="30"/>
    </row>
    <row r="53" spans="1:20">
      <c r="A53" s="72" t="s">
        <v>136</v>
      </c>
      <c r="B53" s="29"/>
      <c r="C53" s="146"/>
      <c r="D53" s="146"/>
      <c r="E53" s="157"/>
      <c r="F53" s="157"/>
      <c r="G53" s="157"/>
      <c r="H53" s="157"/>
      <c r="I53" s="157"/>
      <c r="J53" s="157"/>
      <c r="K53" s="157"/>
      <c r="L53" s="157"/>
      <c r="M53" s="29"/>
      <c r="N53" s="29"/>
      <c r="O53" s="29"/>
      <c r="P53" s="29"/>
      <c r="Q53" s="29"/>
      <c r="R53" s="29"/>
      <c r="S53" s="30"/>
    </row>
    <row r="54" spans="1:20">
      <c r="A54" s="72" t="s">
        <v>136</v>
      </c>
      <c r="B54" s="29"/>
      <c r="C54" s="146"/>
      <c r="D54" s="146"/>
      <c r="E54" s="157"/>
      <c r="F54" s="157"/>
      <c r="G54" s="157"/>
      <c r="H54" s="157"/>
      <c r="I54" s="157"/>
      <c r="J54" s="157"/>
      <c r="K54" s="157"/>
      <c r="L54" s="157"/>
      <c r="M54" s="29"/>
      <c r="N54" s="29"/>
      <c r="O54" s="29"/>
      <c r="P54" s="29"/>
      <c r="Q54" s="29"/>
      <c r="R54" s="29"/>
      <c r="S54" s="30"/>
    </row>
    <row r="55" spans="1:20">
      <c r="A55" s="72" t="s">
        <v>136</v>
      </c>
      <c r="B55" s="29"/>
      <c r="C55" s="146"/>
      <c r="D55" s="146"/>
      <c r="E55" s="157"/>
      <c r="F55" s="157"/>
      <c r="G55" s="157"/>
      <c r="H55" s="157"/>
      <c r="I55" s="157"/>
      <c r="J55" s="157"/>
      <c r="K55" s="157"/>
      <c r="L55" s="157"/>
      <c r="M55" s="29"/>
      <c r="N55" s="29"/>
      <c r="O55" s="29"/>
      <c r="P55" s="29"/>
      <c r="Q55" s="29"/>
      <c r="R55" s="29"/>
      <c r="S55" s="30"/>
    </row>
    <row r="56" spans="1:20">
      <c r="A56" s="72" t="s">
        <v>136</v>
      </c>
      <c r="B56" s="29"/>
      <c r="C56" s="146"/>
      <c r="D56" s="146"/>
      <c r="E56" s="157"/>
      <c r="F56" s="157"/>
      <c r="G56" s="157"/>
      <c r="H56" s="157"/>
      <c r="I56" s="157"/>
      <c r="J56" s="157"/>
      <c r="K56" s="157"/>
      <c r="L56" s="157"/>
      <c r="M56" s="29"/>
      <c r="N56" s="29"/>
      <c r="O56" s="29"/>
      <c r="P56" s="29"/>
      <c r="Q56" s="29"/>
      <c r="R56" s="29"/>
      <c r="S56" s="30"/>
    </row>
    <row r="57" spans="1:20">
      <c r="A57" s="72" t="s">
        <v>136</v>
      </c>
      <c r="B57" s="29"/>
      <c r="C57" s="146"/>
      <c r="D57" s="146"/>
      <c r="E57" s="157"/>
      <c r="F57" s="157"/>
      <c r="G57" s="157"/>
      <c r="H57" s="157"/>
      <c r="I57" s="157"/>
      <c r="J57" s="157"/>
      <c r="K57" s="157"/>
      <c r="L57" s="157"/>
      <c r="M57" s="29"/>
      <c r="N57" s="29"/>
      <c r="O57" s="29"/>
      <c r="P57" s="29"/>
      <c r="Q57" s="29"/>
      <c r="R57" s="29"/>
      <c r="S57" s="30"/>
    </row>
    <row r="58" spans="1:20">
      <c r="A58" s="72" t="s">
        <v>136</v>
      </c>
      <c r="B58" s="29"/>
      <c r="C58" s="146"/>
      <c r="D58" s="146"/>
      <c r="E58" s="157"/>
      <c r="F58" s="157"/>
      <c r="G58" s="157"/>
      <c r="H58" s="157"/>
      <c r="I58" s="157"/>
      <c r="J58" s="157"/>
      <c r="K58" s="157"/>
      <c r="L58" s="157"/>
      <c r="M58" s="29"/>
      <c r="N58" s="29"/>
      <c r="O58" s="29"/>
      <c r="P58" s="29"/>
      <c r="Q58" s="29"/>
      <c r="R58" s="29"/>
      <c r="S58" s="30"/>
    </row>
    <row r="59" spans="1:20">
      <c r="A59" s="72" t="s">
        <v>136</v>
      </c>
      <c r="B59" s="29"/>
      <c r="C59" s="146"/>
      <c r="D59" s="146"/>
      <c r="E59" s="157"/>
      <c r="F59" s="157"/>
      <c r="G59" s="157"/>
      <c r="H59" s="157"/>
      <c r="I59" s="157"/>
      <c r="J59" s="157"/>
      <c r="K59" s="157"/>
      <c r="L59" s="157"/>
      <c r="M59" s="29"/>
      <c r="N59" s="29"/>
      <c r="O59" s="29"/>
      <c r="P59" s="29"/>
      <c r="Q59" s="29"/>
      <c r="R59" s="29"/>
      <c r="S59" s="30"/>
    </row>
    <row r="60" spans="1:20">
      <c r="A60" s="72" t="s">
        <v>136</v>
      </c>
      <c r="B60" s="29"/>
      <c r="C60" s="146"/>
      <c r="D60" s="146"/>
      <c r="E60" s="157"/>
      <c r="F60" s="157"/>
      <c r="G60" s="157"/>
      <c r="H60" s="157"/>
      <c r="I60" s="157"/>
      <c r="J60" s="157"/>
      <c r="K60" s="157"/>
      <c r="L60" s="157"/>
      <c r="M60" s="29"/>
      <c r="N60" s="29"/>
      <c r="O60" s="29"/>
      <c r="P60" s="29"/>
      <c r="Q60" s="29"/>
      <c r="R60" s="29"/>
      <c r="S60" s="30"/>
    </row>
    <row r="61" spans="1:20">
      <c r="A61" s="72" t="s">
        <v>136</v>
      </c>
      <c r="B61" s="29"/>
      <c r="C61" s="146"/>
      <c r="D61" s="146"/>
      <c r="E61" s="157"/>
      <c r="F61" s="157"/>
      <c r="G61" s="157"/>
      <c r="H61" s="157"/>
      <c r="I61" s="157"/>
      <c r="J61" s="157"/>
      <c r="K61" s="157"/>
      <c r="L61" s="157"/>
      <c r="M61" s="29"/>
      <c r="N61" s="29"/>
      <c r="O61" s="29"/>
      <c r="P61" s="29"/>
      <c r="Q61" s="29"/>
      <c r="R61" s="29"/>
      <c r="S61" s="30"/>
    </row>
    <row r="62" spans="1:20">
      <c r="A62" s="72" t="s">
        <v>136</v>
      </c>
      <c r="B62" s="29"/>
      <c r="C62" s="146"/>
      <c r="D62" s="146"/>
      <c r="E62" s="157"/>
      <c r="F62" s="157"/>
      <c r="G62" s="157"/>
      <c r="H62" s="157"/>
      <c r="I62" s="157"/>
      <c r="J62" s="157"/>
      <c r="K62" s="157"/>
      <c r="L62" s="157"/>
      <c r="M62" s="29"/>
      <c r="N62" s="29"/>
      <c r="O62" s="29"/>
      <c r="P62" s="29"/>
      <c r="Q62" s="29"/>
      <c r="R62" s="29"/>
      <c r="S62" s="30"/>
    </row>
    <row r="63" spans="1:20">
      <c r="A63" s="72" t="s">
        <v>136</v>
      </c>
      <c r="B63" s="29"/>
      <c r="C63" s="146"/>
      <c r="D63" s="146"/>
      <c r="E63" s="157"/>
      <c r="F63" s="157"/>
      <c r="G63" s="157"/>
      <c r="H63" s="157"/>
      <c r="I63" s="157"/>
      <c r="J63" s="157"/>
      <c r="K63" s="157"/>
      <c r="L63" s="157"/>
      <c r="M63" s="29"/>
      <c r="N63" s="29"/>
      <c r="O63" s="29"/>
      <c r="P63" s="29"/>
      <c r="Q63" s="29"/>
      <c r="R63" s="29"/>
      <c r="S63" s="30"/>
    </row>
    <row r="64" spans="1:20">
      <c r="A64" s="72" t="s">
        <v>136</v>
      </c>
      <c r="B64" s="29"/>
      <c r="C64" s="146"/>
      <c r="D64" s="146"/>
      <c r="E64" s="157"/>
      <c r="F64" s="157"/>
      <c r="G64" s="157"/>
      <c r="H64" s="157"/>
      <c r="I64" s="157"/>
      <c r="J64" s="157"/>
      <c r="K64" s="157"/>
      <c r="L64" s="157"/>
      <c r="M64" s="29"/>
      <c r="N64" s="29"/>
      <c r="O64" s="29"/>
      <c r="P64" s="29"/>
      <c r="Q64" s="29"/>
      <c r="R64" s="29"/>
      <c r="S64" s="30"/>
    </row>
    <row r="65" spans="1:19">
      <c r="A65" s="72" t="s">
        <v>136</v>
      </c>
      <c r="B65" s="29"/>
      <c r="C65" s="146"/>
      <c r="D65" s="146"/>
      <c r="E65" s="157"/>
      <c r="F65" s="157"/>
      <c r="G65" s="157"/>
      <c r="H65" s="157"/>
      <c r="I65" s="157"/>
      <c r="J65" s="157"/>
      <c r="K65" s="157"/>
      <c r="L65" s="157"/>
      <c r="M65" s="29"/>
      <c r="N65" s="29"/>
      <c r="O65" s="29"/>
      <c r="P65" s="29"/>
      <c r="Q65" s="29"/>
      <c r="R65" s="29"/>
      <c r="S65" s="30"/>
    </row>
    <row r="66" spans="1:19">
      <c r="A66" s="72" t="s">
        <v>136</v>
      </c>
      <c r="B66" s="29"/>
      <c r="C66" s="146"/>
      <c r="D66" s="146"/>
      <c r="E66" s="157"/>
      <c r="F66" s="157"/>
      <c r="G66" s="157"/>
      <c r="H66" s="157"/>
      <c r="I66" s="157"/>
      <c r="J66" s="157"/>
      <c r="K66" s="157"/>
      <c r="L66" s="157"/>
      <c r="M66" s="29"/>
      <c r="N66" s="29"/>
      <c r="O66" s="29"/>
      <c r="P66" s="29"/>
      <c r="Q66" s="29"/>
      <c r="R66" s="29"/>
      <c r="S66" s="30"/>
    </row>
    <row r="67" spans="1:19">
      <c r="A67" s="72" t="s">
        <v>136</v>
      </c>
      <c r="B67" s="29"/>
      <c r="C67" s="146"/>
      <c r="D67" s="146"/>
      <c r="E67" s="157"/>
      <c r="F67" s="157"/>
      <c r="G67" s="157"/>
      <c r="H67" s="157"/>
      <c r="I67" s="157"/>
      <c r="J67" s="157"/>
      <c r="K67" s="157"/>
      <c r="L67" s="157"/>
      <c r="M67" s="29"/>
      <c r="N67" s="29"/>
      <c r="O67" s="29"/>
      <c r="P67" s="29"/>
      <c r="Q67" s="29"/>
      <c r="R67" s="29"/>
      <c r="S67" s="30"/>
    </row>
    <row r="68" spans="1:19">
      <c r="A68" s="72" t="s">
        <v>136</v>
      </c>
      <c r="B68" s="29"/>
      <c r="C68" s="146"/>
      <c r="D68" s="146"/>
      <c r="E68" s="157"/>
      <c r="F68" s="157"/>
      <c r="G68" s="157"/>
      <c r="H68" s="157"/>
      <c r="I68" s="157"/>
      <c r="J68" s="157"/>
      <c r="K68" s="157"/>
      <c r="L68" s="157"/>
      <c r="M68" s="29"/>
      <c r="N68" s="29"/>
      <c r="O68" s="29"/>
      <c r="P68" s="29"/>
      <c r="Q68" s="29"/>
      <c r="R68" s="29"/>
      <c r="S68" s="30"/>
    </row>
    <row r="69" spans="1:19">
      <c r="A69" s="72" t="s">
        <v>136</v>
      </c>
      <c r="B69" s="29"/>
      <c r="C69" s="146"/>
      <c r="D69" s="146"/>
      <c r="E69" s="157"/>
      <c r="F69" s="157"/>
      <c r="G69" s="157"/>
      <c r="H69" s="157"/>
      <c r="I69" s="157"/>
      <c r="J69" s="157"/>
      <c r="K69" s="157"/>
      <c r="L69" s="157"/>
      <c r="M69" s="29"/>
      <c r="N69" s="29"/>
      <c r="O69" s="29"/>
      <c r="P69" s="29"/>
      <c r="Q69" s="29"/>
      <c r="R69" s="29"/>
      <c r="S69" s="30"/>
    </row>
    <row r="70" spans="1:19">
      <c r="A70" s="72" t="s">
        <v>136</v>
      </c>
      <c r="B70" s="29"/>
      <c r="C70" s="146"/>
      <c r="D70" s="146"/>
      <c r="E70" s="157"/>
      <c r="F70" s="157"/>
      <c r="G70" s="157"/>
      <c r="H70" s="157"/>
      <c r="I70" s="157"/>
      <c r="J70" s="157"/>
      <c r="K70" s="157"/>
      <c r="L70" s="157"/>
      <c r="M70" s="29"/>
      <c r="N70" s="29"/>
      <c r="O70" s="29"/>
      <c r="P70" s="29"/>
      <c r="Q70" s="29"/>
      <c r="R70" s="29"/>
      <c r="S70" s="30"/>
    </row>
    <row r="71" spans="1:19">
      <c r="A71" s="72" t="s">
        <v>136</v>
      </c>
      <c r="B71" s="29"/>
      <c r="C71" s="146"/>
      <c r="D71" s="146"/>
      <c r="E71" s="157"/>
      <c r="F71" s="157"/>
      <c r="G71" s="157"/>
      <c r="H71" s="157"/>
      <c r="I71" s="157"/>
      <c r="J71" s="157"/>
      <c r="K71" s="157"/>
      <c r="L71" s="157"/>
      <c r="M71" s="29"/>
      <c r="N71" s="29"/>
      <c r="O71" s="29"/>
      <c r="P71" s="29"/>
      <c r="Q71" s="29"/>
      <c r="R71" s="29"/>
      <c r="S71" s="30"/>
    </row>
    <row r="72" spans="1:19">
      <c r="A72" s="72" t="s">
        <v>136</v>
      </c>
      <c r="B72" s="29"/>
      <c r="C72" s="146"/>
      <c r="D72" s="146"/>
      <c r="E72" s="157"/>
      <c r="F72" s="157"/>
      <c r="G72" s="157"/>
      <c r="H72" s="157"/>
      <c r="I72" s="157"/>
      <c r="J72" s="157"/>
      <c r="K72" s="157"/>
      <c r="L72" s="157"/>
      <c r="M72" s="29"/>
      <c r="N72" s="29"/>
      <c r="O72" s="29"/>
      <c r="P72" s="29"/>
      <c r="Q72" s="29"/>
      <c r="R72" s="29"/>
      <c r="S72" s="30"/>
    </row>
    <row r="73" spans="1:19">
      <c r="A73" s="72" t="s">
        <v>136</v>
      </c>
      <c r="B73" s="29"/>
      <c r="C73" s="146"/>
      <c r="D73" s="146"/>
      <c r="E73" s="157"/>
      <c r="F73" s="157"/>
      <c r="G73" s="157"/>
      <c r="H73" s="157"/>
      <c r="I73" s="157"/>
      <c r="J73" s="157"/>
      <c r="K73" s="157"/>
      <c r="L73" s="157"/>
      <c r="M73" s="29"/>
      <c r="N73" s="29"/>
      <c r="O73" s="29"/>
      <c r="P73" s="29"/>
      <c r="Q73" s="29"/>
      <c r="R73" s="29"/>
      <c r="S73" s="30"/>
    </row>
    <row r="74" spans="1:19">
      <c r="A74" s="72" t="s">
        <v>136</v>
      </c>
      <c r="B74" s="29"/>
      <c r="C74" s="146"/>
      <c r="D74" s="146"/>
      <c r="E74" s="157"/>
      <c r="F74" s="157"/>
      <c r="G74" s="157"/>
      <c r="H74" s="157"/>
      <c r="I74" s="157"/>
      <c r="J74" s="157"/>
      <c r="K74" s="157"/>
      <c r="L74" s="157"/>
      <c r="M74" s="29"/>
      <c r="N74" s="29"/>
      <c r="O74" s="29"/>
      <c r="P74" s="29"/>
      <c r="Q74" s="29"/>
      <c r="R74" s="29"/>
      <c r="S74" s="30"/>
    </row>
    <row r="75" spans="1:19">
      <c r="A75" s="72" t="s">
        <v>136</v>
      </c>
      <c r="B75" s="29"/>
      <c r="C75" s="146"/>
      <c r="D75" s="146"/>
      <c r="E75" s="157"/>
      <c r="F75" s="157"/>
      <c r="G75" s="157"/>
      <c r="H75" s="157"/>
      <c r="I75" s="157"/>
      <c r="J75" s="157"/>
      <c r="K75" s="157"/>
      <c r="L75" s="157"/>
      <c r="M75" s="29"/>
      <c r="N75" s="29"/>
      <c r="O75" s="29"/>
      <c r="P75" s="29"/>
      <c r="Q75" s="29"/>
      <c r="R75" s="29"/>
      <c r="S75" s="30"/>
    </row>
    <row r="76" spans="1:19">
      <c r="A76" s="72" t="s">
        <v>136</v>
      </c>
      <c r="B76" s="29"/>
      <c r="C76" s="146"/>
      <c r="D76" s="146"/>
      <c r="E76" s="157"/>
      <c r="F76" s="157"/>
      <c r="G76" s="157"/>
      <c r="H76" s="157"/>
      <c r="I76" s="157"/>
      <c r="J76" s="157"/>
      <c r="K76" s="157"/>
      <c r="L76" s="157"/>
      <c r="M76" s="29"/>
      <c r="N76" s="29"/>
      <c r="O76" s="29"/>
      <c r="P76" s="29"/>
      <c r="Q76" s="29"/>
      <c r="R76" s="29"/>
      <c r="S76" s="30"/>
    </row>
    <row r="77" spans="1:19">
      <c r="A77" s="72" t="s">
        <v>136</v>
      </c>
      <c r="B77" s="29"/>
      <c r="C77" s="146"/>
      <c r="D77" s="146"/>
      <c r="E77" s="157"/>
      <c r="F77" s="157"/>
      <c r="G77" s="157"/>
      <c r="H77" s="157"/>
      <c r="I77" s="157"/>
      <c r="J77" s="157"/>
      <c r="K77" s="157"/>
      <c r="L77" s="157"/>
      <c r="M77" s="29"/>
      <c r="N77" s="29"/>
      <c r="O77" s="29"/>
      <c r="P77" s="29"/>
      <c r="Q77" s="29"/>
      <c r="R77" s="29"/>
      <c r="S77" s="30"/>
    </row>
    <row r="78" spans="1:19">
      <c r="A78" s="72" t="s">
        <v>136</v>
      </c>
      <c r="B78" s="29"/>
      <c r="C78" s="146"/>
      <c r="D78" s="146"/>
      <c r="E78" s="157"/>
      <c r="F78" s="157"/>
      <c r="G78" s="157"/>
      <c r="H78" s="157"/>
      <c r="I78" s="157"/>
      <c r="J78" s="157"/>
      <c r="K78" s="157"/>
      <c r="L78" s="157"/>
      <c r="M78" s="29"/>
      <c r="N78" s="29"/>
      <c r="O78" s="29"/>
      <c r="P78" s="29"/>
      <c r="Q78" s="29"/>
      <c r="R78" s="29"/>
      <c r="S78" s="30"/>
    </row>
    <row r="79" spans="1:19">
      <c r="A79" s="72" t="s">
        <v>136</v>
      </c>
      <c r="B79" s="29"/>
      <c r="C79" s="146"/>
      <c r="D79" s="146"/>
      <c r="E79" s="157"/>
      <c r="F79" s="157"/>
      <c r="G79" s="157"/>
      <c r="H79" s="157"/>
      <c r="I79" s="157"/>
      <c r="J79" s="157"/>
      <c r="K79" s="157"/>
      <c r="L79" s="157"/>
      <c r="M79" s="29"/>
      <c r="N79" s="29"/>
      <c r="O79" s="29"/>
      <c r="P79" s="29"/>
      <c r="Q79" s="29"/>
      <c r="R79" s="29"/>
      <c r="S79" s="30"/>
    </row>
    <row r="80" spans="1:19">
      <c r="A80" s="72" t="s">
        <v>136</v>
      </c>
      <c r="B80" s="29"/>
      <c r="C80" s="146"/>
      <c r="D80" s="146"/>
      <c r="E80" s="157"/>
      <c r="F80" s="157"/>
      <c r="G80" s="157"/>
      <c r="H80" s="157"/>
      <c r="I80" s="157"/>
      <c r="J80" s="157"/>
      <c r="K80" s="157"/>
      <c r="L80" s="157"/>
      <c r="M80" s="29"/>
      <c r="N80" s="29"/>
      <c r="O80" s="29"/>
      <c r="P80" s="29"/>
      <c r="Q80" s="29"/>
      <c r="R80" s="29"/>
      <c r="S80" s="30"/>
    </row>
    <row r="81" spans="1:19">
      <c r="A81" s="72" t="s">
        <v>136</v>
      </c>
      <c r="B81" s="29"/>
      <c r="C81" s="146"/>
      <c r="D81" s="146"/>
      <c r="E81" s="157"/>
      <c r="F81" s="157"/>
      <c r="G81" s="157"/>
      <c r="H81" s="157"/>
      <c r="I81" s="157"/>
      <c r="J81" s="157"/>
      <c r="K81" s="157"/>
      <c r="L81" s="157"/>
      <c r="M81" s="29"/>
      <c r="N81" s="29"/>
      <c r="O81" s="29"/>
      <c r="P81" s="29"/>
      <c r="Q81" s="29"/>
      <c r="R81" s="29"/>
      <c r="S81" s="30"/>
    </row>
    <row r="82" spans="1:19">
      <c r="A82" s="72" t="s">
        <v>136</v>
      </c>
      <c r="B82" s="29"/>
      <c r="C82" s="146"/>
      <c r="D82" s="146"/>
      <c r="E82" s="157"/>
      <c r="F82" s="157"/>
      <c r="G82" s="157"/>
      <c r="H82" s="157"/>
      <c r="I82" s="157"/>
      <c r="J82" s="157"/>
      <c r="K82" s="157"/>
      <c r="L82" s="157"/>
      <c r="M82" s="29"/>
      <c r="N82" s="29"/>
      <c r="O82" s="29"/>
      <c r="P82" s="29"/>
      <c r="Q82" s="29"/>
      <c r="R82" s="29"/>
      <c r="S82" s="30"/>
    </row>
    <row r="83" spans="1:19">
      <c r="A83" s="72" t="s">
        <v>136</v>
      </c>
      <c r="B83" s="29"/>
      <c r="C83" s="146"/>
      <c r="D83" s="146"/>
      <c r="E83" s="157"/>
      <c r="F83" s="157"/>
      <c r="G83" s="157"/>
      <c r="H83" s="157"/>
      <c r="I83" s="157"/>
      <c r="J83" s="157"/>
      <c r="K83" s="157"/>
      <c r="L83" s="157"/>
      <c r="M83" s="29"/>
      <c r="N83" s="29"/>
      <c r="O83" s="29"/>
      <c r="P83" s="29"/>
      <c r="Q83" s="29"/>
      <c r="R83" s="29"/>
      <c r="S83" s="30"/>
    </row>
    <row r="84" spans="1:19">
      <c r="A84" s="72" t="s">
        <v>136</v>
      </c>
      <c r="B84" s="29"/>
      <c r="C84" s="146"/>
      <c r="D84" s="146"/>
      <c r="E84" s="157"/>
      <c r="F84" s="157"/>
      <c r="G84" s="157"/>
      <c r="H84" s="157"/>
      <c r="I84" s="157"/>
      <c r="J84" s="157"/>
      <c r="K84" s="157"/>
      <c r="L84" s="157"/>
      <c r="M84" s="29"/>
      <c r="N84" s="29"/>
      <c r="O84" s="29"/>
      <c r="P84" s="29"/>
      <c r="Q84" s="29"/>
      <c r="R84" s="29"/>
      <c r="S84" s="30"/>
    </row>
    <row r="85" spans="1:19">
      <c r="A85" s="72" t="s">
        <v>136</v>
      </c>
      <c r="B85" s="29"/>
      <c r="C85" s="146"/>
      <c r="D85" s="146"/>
      <c r="E85" s="157"/>
      <c r="F85" s="157"/>
      <c r="G85" s="157"/>
      <c r="H85" s="157"/>
      <c r="I85" s="157"/>
      <c r="J85" s="157"/>
      <c r="K85" s="157"/>
      <c r="L85" s="157"/>
      <c r="M85" s="29"/>
      <c r="N85" s="29"/>
      <c r="O85" s="29"/>
      <c r="P85" s="29"/>
      <c r="Q85" s="29"/>
      <c r="R85" s="29"/>
      <c r="S85" s="30"/>
    </row>
    <row r="86" spans="1:19">
      <c r="A86" s="72" t="s">
        <v>136</v>
      </c>
      <c r="B86" s="29"/>
      <c r="C86" s="146"/>
      <c r="D86" s="146"/>
      <c r="E86" s="157"/>
      <c r="F86" s="157"/>
      <c r="G86" s="157"/>
      <c r="H86" s="157"/>
      <c r="I86" s="157"/>
      <c r="J86" s="157"/>
      <c r="K86" s="157"/>
      <c r="L86" s="157"/>
      <c r="M86" s="29"/>
      <c r="N86" s="29"/>
      <c r="O86" s="29"/>
      <c r="P86" s="29"/>
      <c r="Q86" s="29"/>
      <c r="R86" s="29"/>
      <c r="S86" s="30"/>
    </row>
    <row r="87" spans="1:19">
      <c r="A87" s="72" t="s">
        <v>136</v>
      </c>
      <c r="B87" s="29"/>
      <c r="C87" s="146"/>
      <c r="D87" s="146"/>
      <c r="E87" s="157"/>
      <c r="F87" s="157"/>
      <c r="G87" s="157"/>
      <c r="H87" s="157"/>
      <c r="I87" s="157"/>
      <c r="J87" s="157"/>
      <c r="K87" s="157"/>
      <c r="L87" s="157"/>
      <c r="M87" s="29"/>
      <c r="N87" s="29"/>
      <c r="O87" s="29"/>
      <c r="P87" s="29"/>
      <c r="Q87" s="29"/>
      <c r="R87" s="29"/>
      <c r="S87" s="30"/>
    </row>
    <row r="88" spans="1:19">
      <c r="A88" s="72" t="s">
        <v>136</v>
      </c>
      <c r="B88" s="29"/>
      <c r="C88" s="146"/>
      <c r="D88" s="146"/>
      <c r="E88" s="157"/>
      <c r="F88" s="157"/>
      <c r="G88" s="157"/>
      <c r="H88" s="157"/>
      <c r="I88" s="157"/>
      <c r="J88" s="157"/>
      <c r="K88" s="157"/>
      <c r="L88" s="157"/>
      <c r="M88" s="29"/>
      <c r="N88" s="29"/>
      <c r="O88" s="29"/>
      <c r="P88" s="29"/>
      <c r="Q88" s="29"/>
      <c r="R88" s="29"/>
      <c r="S88" s="30"/>
    </row>
    <row r="89" spans="1:19">
      <c r="A89" s="72" t="s">
        <v>136</v>
      </c>
      <c r="B89" s="29"/>
      <c r="C89" s="146"/>
      <c r="D89" s="146"/>
      <c r="E89" s="157"/>
      <c r="F89" s="157"/>
      <c r="G89" s="157"/>
      <c r="H89" s="157"/>
      <c r="I89" s="157"/>
      <c r="J89" s="157"/>
      <c r="K89" s="157"/>
      <c r="L89" s="157"/>
      <c r="M89" s="29"/>
      <c r="N89" s="29"/>
      <c r="O89" s="29"/>
      <c r="P89" s="29"/>
      <c r="Q89" s="29"/>
      <c r="R89" s="29"/>
      <c r="S89" s="30"/>
    </row>
    <row r="90" spans="1:19">
      <c r="A90" s="72" t="s">
        <v>136</v>
      </c>
      <c r="B90" s="29"/>
      <c r="C90" s="146"/>
      <c r="D90" s="146"/>
      <c r="E90" s="157"/>
      <c r="F90" s="157"/>
      <c r="G90" s="157"/>
      <c r="H90" s="157"/>
      <c r="I90" s="157"/>
      <c r="J90" s="157"/>
      <c r="K90" s="157"/>
      <c r="L90" s="157"/>
      <c r="M90" s="29"/>
      <c r="N90" s="29"/>
      <c r="O90" s="29"/>
      <c r="P90" s="29"/>
      <c r="Q90" s="29"/>
      <c r="R90" s="29"/>
      <c r="S90" s="30"/>
    </row>
    <row r="91" spans="1:19">
      <c r="A91" s="72" t="s">
        <v>136</v>
      </c>
      <c r="B91" s="29"/>
      <c r="C91" s="146"/>
      <c r="D91" s="146"/>
      <c r="E91" s="157"/>
      <c r="F91" s="157"/>
      <c r="G91" s="157"/>
      <c r="H91" s="157"/>
      <c r="I91" s="157"/>
      <c r="J91" s="157"/>
      <c r="K91" s="157"/>
      <c r="L91" s="157"/>
      <c r="M91" s="29"/>
      <c r="N91" s="29"/>
      <c r="O91" s="29"/>
      <c r="P91" s="29"/>
      <c r="Q91" s="29"/>
      <c r="R91" s="29"/>
      <c r="S91" s="30"/>
    </row>
    <row r="92" spans="1:19">
      <c r="A92" s="72" t="s">
        <v>136</v>
      </c>
      <c r="B92" s="29"/>
      <c r="C92" s="146"/>
      <c r="D92" s="146"/>
      <c r="E92" s="157"/>
      <c r="F92" s="157"/>
      <c r="G92" s="157"/>
      <c r="H92" s="157"/>
      <c r="I92" s="157"/>
      <c r="J92" s="157"/>
      <c r="K92" s="157"/>
      <c r="L92" s="157"/>
      <c r="M92" s="29"/>
      <c r="N92" s="29"/>
      <c r="O92" s="29"/>
      <c r="P92" s="29"/>
      <c r="Q92" s="29"/>
      <c r="R92" s="29"/>
      <c r="S92" s="30"/>
    </row>
    <row r="93" spans="1:19">
      <c r="A93" s="72" t="s">
        <v>136</v>
      </c>
      <c r="B93" s="29"/>
      <c r="C93" s="146"/>
      <c r="D93" s="146"/>
      <c r="E93" s="157"/>
      <c r="F93" s="157"/>
      <c r="G93" s="157"/>
      <c r="H93" s="157"/>
      <c r="I93" s="157"/>
      <c r="J93" s="157"/>
      <c r="K93" s="157"/>
      <c r="L93" s="157"/>
      <c r="M93" s="29"/>
      <c r="N93" s="29"/>
      <c r="O93" s="29"/>
      <c r="P93" s="29"/>
      <c r="Q93" s="29"/>
      <c r="R93" s="29"/>
      <c r="S93" s="30"/>
    </row>
    <row r="94" spans="1:19">
      <c r="A94" s="72" t="s">
        <v>136</v>
      </c>
      <c r="B94" s="29"/>
      <c r="C94" s="146"/>
      <c r="D94" s="146"/>
      <c r="E94" s="157"/>
      <c r="F94" s="157"/>
      <c r="G94" s="157"/>
      <c r="H94" s="157"/>
      <c r="I94" s="157"/>
      <c r="J94" s="157"/>
      <c r="K94" s="157"/>
      <c r="L94" s="157"/>
      <c r="M94" s="29"/>
      <c r="N94" s="29"/>
      <c r="O94" s="29"/>
      <c r="P94" s="29"/>
      <c r="Q94" s="29"/>
      <c r="R94" s="29"/>
      <c r="S94" s="30"/>
    </row>
    <row r="95" spans="1:19">
      <c r="A95" s="72" t="s">
        <v>136</v>
      </c>
      <c r="B95" s="29"/>
      <c r="C95" s="146"/>
      <c r="D95" s="146"/>
      <c r="E95" s="157"/>
      <c r="F95" s="157"/>
      <c r="G95" s="157"/>
      <c r="H95" s="157"/>
      <c r="I95" s="157"/>
      <c r="J95" s="157"/>
      <c r="K95" s="157"/>
      <c r="L95" s="157"/>
      <c r="M95" s="29"/>
      <c r="N95" s="29"/>
      <c r="O95" s="29"/>
      <c r="P95" s="29"/>
      <c r="Q95" s="29"/>
      <c r="R95" s="29"/>
      <c r="S95" s="30"/>
    </row>
    <row r="96" spans="1:19">
      <c r="A96" s="72" t="s">
        <v>136</v>
      </c>
      <c r="B96" s="29"/>
      <c r="C96" s="146"/>
      <c r="D96" s="146"/>
      <c r="E96" s="157"/>
      <c r="F96" s="157"/>
      <c r="G96" s="157"/>
      <c r="H96" s="157"/>
      <c r="I96" s="157"/>
      <c r="J96" s="157"/>
      <c r="K96" s="157"/>
      <c r="L96" s="157"/>
      <c r="M96" s="29"/>
      <c r="N96" s="29"/>
      <c r="O96" s="29"/>
      <c r="P96" s="29"/>
      <c r="Q96" s="29"/>
      <c r="R96" s="29"/>
      <c r="S96" s="30"/>
    </row>
    <row r="97" spans="1:19">
      <c r="A97" s="72" t="s">
        <v>136</v>
      </c>
      <c r="B97" s="29"/>
      <c r="C97" s="146"/>
      <c r="D97" s="146"/>
      <c r="E97" s="157"/>
      <c r="F97" s="157"/>
      <c r="G97" s="157"/>
      <c r="H97" s="157"/>
      <c r="I97" s="157"/>
      <c r="J97" s="157"/>
      <c r="K97" s="157"/>
      <c r="L97" s="157"/>
      <c r="M97" s="29"/>
      <c r="N97" s="29"/>
      <c r="O97" s="29"/>
      <c r="P97" s="29"/>
      <c r="Q97" s="29"/>
      <c r="R97" s="29"/>
      <c r="S97" s="30"/>
    </row>
    <row r="98" spans="1:19">
      <c r="A98" s="72" t="s">
        <v>136</v>
      </c>
      <c r="B98" s="29"/>
      <c r="C98" s="146"/>
      <c r="D98" s="146"/>
      <c r="E98" s="157"/>
      <c r="F98" s="157"/>
      <c r="G98" s="157"/>
      <c r="H98" s="157"/>
      <c r="I98" s="157"/>
      <c r="J98" s="157"/>
      <c r="K98" s="157"/>
      <c r="L98" s="157"/>
      <c r="M98" s="29"/>
      <c r="N98" s="29"/>
      <c r="O98" s="29"/>
      <c r="P98" s="29"/>
      <c r="Q98" s="29"/>
      <c r="R98" s="29"/>
      <c r="S98" s="30"/>
    </row>
    <row r="99" spans="1:19">
      <c r="A99" s="72" t="s">
        <v>136</v>
      </c>
      <c r="B99" s="29"/>
      <c r="C99" s="146"/>
      <c r="D99" s="146"/>
      <c r="E99" s="157"/>
      <c r="F99" s="157"/>
      <c r="G99" s="157"/>
      <c r="H99" s="157"/>
      <c r="I99" s="157"/>
      <c r="J99" s="157"/>
      <c r="K99" s="157"/>
      <c r="L99" s="157"/>
      <c r="M99" s="29"/>
      <c r="N99" s="29"/>
      <c r="O99" s="29"/>
      <c r="P99" s="29"/>
      <c r="Q99" s="29"/>
      <c r="R99" s="29"/>
      <c r="S99" s="30"/>
    </row>
    <row r="100" spans="1:19">
      <c r="A100" s="72" t="s">
        <v>136</v>
      </c>
      <c r="B100" s="29"/>
      <c r="C100" s="146"/>
      <c r="D100" s="146"/>
      <c r="E100" s="157"/>
      <c r="F100" s="157"/>
      <c r="G100" s="157"/>
      <c r="H100" s="157"/>
      <c r="I100" s="157"/>
      <c r="J100" s="157"/>
      <c r="K100" s="157"/>
      <c r="L100" s="157"/>
      <c r="M100" s="29"/>
      <c r="N100" s="29"/>
      <c r="O100" s="29"/>
      <c r="P100" s="29"/>
      <c r="Q100" s="29"/>
      <c r="R100" s="29"/>
      <c r="S100" s="30"/>
    </row>
  </sheetData>
  <mergeCells count="9">
    <mergeCell ref="A1:B1"/>
    <mergeCell ref="O19:P19"/>
    <mergeCell ref="S19:S20"/>
    <mergeCell ref="M19:N19"/>
    <mergeCell ref="Q19:R19"/>
    <mergeCell ref="L19:L20"/>
    <mergeCell ref="I19:I20"/>
    <mergeCell ref="J19:J20"/>
    <mergeCell ref="K19:K20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3" r:id="rId3" name="Button 9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22</xdr:row>
                    <xdr:rowOff>25400</xdr:rowOff>
                  </from>
                  <to>
                    <xdr:col>19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4" r:id="rId4" name="Button 9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23</xdr:row>
                    <xdr:rowOff>25400</xdr:rowOff>
                  </from>
                  <to>
                    <xdr:col>19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5" r:id="rId5" name="Button 9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24</xdr:row>
                    <xdr:rowOff>25400</xdr:rowOff>
                  </from>
                  <to>
                    <xdr:col>19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6" r:id="rId6" name="Button 9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25</xdr:row>
                    <xdr:rowOff>25400</xdr:rowOff>
                  </from>
                  <to>
                    <xdr:col>19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7" r:id="rId7" name="Button 9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26</xdr:row>
                    <xdr:rowOff>25400</xdr:rowOff>
                  </from>
                  <to>
                    <xdr:col>19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8" r:id="rId8" name="Button 9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27</xdr:row>
                    <xdr:rowOff>25400</xdr:rowOff>
                  </from>
                  <to>
                    <xdr:col>19</xdr:col>
                    <xdr:colOff>12700</xdr:colOff>
                    <xdr:row>28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69" r:id="rId9" name="Button 9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28</xdr:row>
                    <xdr:rowOff>25400</xdr:rowOff>
                  </from>
                  <to>
                    <xdr:col>19</xdr:col>
                    <xdr:colOff>12700</xdr:colOff>
                    <xdr:row>29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0" r:id="rId10" name="Button 9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29</xdr:row>
                    <xdr:rowOff>25400</xdr:rowOff>
                  </from>
                  <to>
                    <xdr:col>19</xdr:col>
                    <xdr:colOff>12700</xdr:colOff>
                    <xdr:row>30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1" r:id="rId11" name="Button 9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30</xdr:row>
                    <xdr:rowOff>25400</xdr:rowOff>
                  </from>
                  <to>
                    <xdr:col>19</xdr:col>
                    <xdr:colOff>12700</xdr:colOff>
                    <xdr:row>31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2" r:id="rId12" name="Button 10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31</xdr:row>
                    <xdr:rowOff>25400</xdr:rowOff>
                  </from>
                  <to>
                    <xdr:col>19</xdr:col>
                    <xdr:colOff>12700</xdr:colOff>
                    <xdr:row>32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3" r:id="rId13" name="Button 10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32</xdr:row>
                    <xdr:rowOff>25400</xdr:rowOff>
                  </from>
                  <to>
                    <xdr:col>19</xdr:col>
                    <xdr:colOff>12700</xdr:colOff>
                    <xdr:row>33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4" r:id="rId14" name="Button 10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33</xdr:row>
                    <xdr:rowOff>25400</xdr:rowOff>
                  </from>
                  <to>
                    <xdr:col>19</xdr:col>
                    <xdr:colOff>12700</xdr:colOff>
                    <xdr:row>34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5" r:id="rId15" name="Button 10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34</xdr:row>
                    <xdr:rowOff>25400</xdr:rowOff>
                  </from>
                  <to>
                    <xdr:col>19</xdr:col>
                    <xdr:colOff>12700</xdr:colOff>
                    <xdr:row>35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6" r:id="rId16" name="Button 10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35</xdr:row>
                    <xdr:rowOff>25400</xdr:rowOff>
                  </from>
                  <to>
                    <xdr:col>19</xdr:col>
                    <xdr:colOff>12700</xdr:colOff>
                    <xdr:row>36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7" r:id="rId17" name="Button 10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36</xdr:row>
                    <xdr:rowOff>25400</xdr:rowOff>
                  </from>
                  <to>
                    <xdr:col>19</xdr:col>
                    <xdr:colOff>12700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8" r:id="rId18" name="Button 10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37</xdr:row>
                    <xdr:rowOff>25400</xdr:rowOff>
                  </from>
                  <to>
                    <xdr:col>19</xdr:col>
                    <xdr:colOff>12700</xdr:colOff>
                    <xdr:row>38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79" r:id="rId19" name="Button 10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38</xdr:row>
                    <xdr:rowOff>25400</xdr:rowOff>
                  </from>
                  <to>
                    <xdr:col>19</xdr:col>
                    <xdr:colOff>12700</xdr:colOff>
                    <xdr:row>39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0" r:id="rId20" name="Button 10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39</xdr:row>
                    <xdr:rowOff>25400</xdr:rowOff>
                  </from>
                  <to>
                    <xdr:col>19</xdr:col>
                    <xdr:colOff>12700</xdr:colOff>
                    <xdr:row>40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1" r:id="rId21" name="Button 10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40</xdr:row>
                    <xdr:rowOff>25400</xdr:rowOff>
                  </from>
                  <to>
                    <xdr:col>19</xdr:col>
                    <xdr:colOff>12700</xdr:colOff>
                    <xdr:row>41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2" r:id="rId22" name="Button 11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41</xdr:row>
                    <xdr:rowOff>25400</xdr:rowOff>
                  </from>
                  <to>
                    <xdr:col>19</xdr:col>
                    <xdr:colOff>12700</xdr:colOff>
                    <xdr:row>42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3" r:id="rId23" name="Button 11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42</xdr:row>
                    <xdr:rowOff>25400</xdr:rowOff>
                  </from>
                  <to>
                    <xdr:col>19</xdr:col>
                    <xdr:colOff>12700</xdr:colOff>
                    <xdr:row>43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4" r:id="rId24" name="Button 11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43</xdr:row>
                    <xdr:rowOff>25400</xdr:rowOff>
                  </from>
                  <to>
                    <xdr:col>19</xdr:col>
                    <xdr:colOff>12700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5" r:id="rId25" name="Button 11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44</xdr:row>
                    <xdr:rowOff>25400</xdr:rowOff>
                  </from>
                  <to>
                    <xdr:col>19</xdr:col>
                    <xdr:colOff>12700</xdr:colOff>
                    <xdr:row>45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6" r:id="rId26" name="Button 11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45</xdr:row>
                    <xdr:rowOff>25400</xdr:rowOff>
                  </from>
                  <to>
                    <xdr:col>19</xdr:col>
                    <xdr:colOff>12700</xdr:colOff>
                    <xdr:row>46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7" r:id="rId27" name="Button 11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46</xdr:row>
                    <xdr:rowOff>25400</xdr:rowOff>
                  </from>
                  <to>
                    <xdr:col>19</xdr:col>
                    <xdr:colOff>12700</xdr:colOff>
                    <xdr:row>47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8" r:id="rId28" name="Button 11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47</xdr:row>
                    <xdr:rowOff>25400</xdr:rowOff>
                  </from>
                  <to>
                    <xdr:col>19</xdr:col>
                    <xdr:colOff>12700</xdr:colOff>
                    <xdr:row>48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89" r:id="rId29" name="Button 11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48</xdr:row>
                    <xdr:rowOff>25400</xdr:rowOff>
                  </from>
                  <to>
                    <xdr:col>19</xdr:col>
                    <xdr:colOff>12700</xdr:colOff>
                    <xdr:row>49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0" r:id="rId30" name="Button 11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49</xdr:row>
                    <xdr:rowOff>25400</xdr:rowOff>
                  </from>
                  <to>
                    <xdr:col>19</xdr:col>
                    <xdr:colOff>12700</xdr:colOff>
                    <xdr:row>50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1" r:id="rId31" name="Button 11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50</xdr:row>
                    <xdr:rowOff>25400</xdr:rowOff>
                  </from>
                  <to>
                    <xdr:col>19</xdr:col>
                    <xdr:colOff>12700</xdr:colOff>
                    <xdr:row>51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4" r:id="rId32" name="Button 12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21</xdr:row>
                    <xdr:rowOff>25400</xdr:rowOff>
                  </from>
                  <to>
                    <xdr:col>19</xdr:col>
                    <xdr:colOff>12700</xdr:colOff>
                    <xdr:row>22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5" r:id="rId33" name="Button 12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22</xdr:row>
                    <xdr:rowOff>25400</xdr:rowOff>
                  </from>
                  <to>
                    <xdr:col>19</xdr:col>
                    <xdr:colOff>12700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6" r:id="rId34" name="Button 12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23</xdr:row>
                    <xdr:rowOff>25400</xdr:rowOff>
                  </from>
                  <to>
                    <xdr:col>19</xdr:col>
                    <xdr:colOff>12700</xdr:colOff>
                    <xdr:row>24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7" r:id="rId35" name="Button 12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24</xdr:row>
                    <xdr:rowOff>25400</xdr:rowOff>
                  </from>
                  <to>
                    <xdr:col>19</xdr:col>
                    <xdr:colOff>12700</xdr:colOff>
                    <xdr:row>25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8" r:id="rId36" name="Button 12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25</xdr:row>
                    <xdr:rowOff>25400</xdr:rowOff>
                  </from>
                  <to>
                    <xdr:col>19</xdr:col>
                    <xdr:colOff>12700</xdr:colOff>
                    <xdr:row>26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199" r:id="rId37" name="Button 12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26</xdr:row>
                    <xdr:rowOff>25400</xdr:rowOff>
                  </from>
                  <to>
                    <xdr:col>19</xdr:col>
                    <xdr:colOff>12700</xdr:colOff>
                    <xdr:row>27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3" r:id="rId38" name="Button 13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51</xdr:row>
                    <xdr:rowOff>25400</xdr:rowOff>
                  </from>
                  <to>
                    <xdr:col>19</xdr:col>
                    <xdr:colOff>12700</xdr:colOff>
                    <xdr:row>52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4" r:id="rId39" name="Button 13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52</xdr:row>
                    <xdr:rowOff>25400</xdr:rowOff>
                  </from>
                  <to>
                    <xdr:col>19</xdr:col>
                    <xdr:colOff>12700</xdr:colOff>
                    <xdr:row>53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5" r:id="rId40" name="Button 13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53</xdr:row>
                    <xdr:rowOff>25400</xdr:rowOff>
                  </from>
                  <to>
                    <xdr:col>19</xdr:col>
                    <xdr:colOff>12700</xdr:colOff>
                    <xdr:row>54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6" r:id="rId41" name="Button 13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54</xdr:row>
                    <xdr:rowOff>25400</xdr:rowOff>
                  </from>
                  <to>
                    <xdr:col>19</xdr:col>
                    <xdr:colOff>12700</xdr:colOff>
                    <xdr:row>55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7" r:id="rId42" name="Button 13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55</xdr:row>
                    <xdr:rowOff>25400</xdr:rowOff>
                  </from>
                  <to>
                    <xdr:col>19</xdr:col>
                    <xdr:colOff>12700</xdr:colOff>
                    <xdr:row>56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8" r:id="rId43" name="Button 13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56</xdr:row>
                    <xdr:rowOff>25400</xdr:rowOff>
                  </from>
                  <to>
                    <xdr:col>19</xdr:col>
                    <xdr:colOff>12700</xdr:colOff>
                    <xdr:row>57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09" r:id="rId44" name="Button 13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57</xdr:row>
                    <xdr:rowOff>25400</xdr:rowOff>
                  </from>
                  <to>
                    <xdr:col>19</xdr:col>
                    <xdr:colOff>12700</xdr:colOff>
                    <xdr:row>58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0" r:id="rId45" name="Button 13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58</xdr:row>
                    <xdr:rowOff>25400</xdr:rowOff>
                  </from>
                  <to>
                    <xdr:col>19</xdr:col>
                    <xdr:colOff>12700</xdr:colOff>
                    <xdr:row>59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1" r:id="rId46" name="Button 13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59</xdr:row>
                    <xdr:rowOff>25400</xdr:rowOff>
                  </from>
                  <to>
                    <xdr:col>19</xdr:col>
                    <xdr:colOff>12700</xdr:colOff>
                    <xdr:row>60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2" r:id="rId47" name="Button 14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60</xdr:row>
                    <xdr:rowOff>25400</xdr:rowOff>
                  </from>
                  <to>
                    <xdr:col>19</xdr:col>
                    <xdr:colOff>12700</xdr:colOff>
                    <xdr:row>61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3" r:id="rId48" name="Button 14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61</xdr:row>
                    <xdr:rowOff>25400</xdr:rowOff>
                  </from>
                  <to>
                    <xdr:col>19</xdr:col>
                    <xdr:colOff>12700</xdr:colOff>
                    <xdr:row>62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4" r:id="rId49" name="Button 14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62</xdr:row>
                    <xdr:rowOff>25400</xdr:rowOff>
                  </from>
                  <to>
                    <xdr:col>19</xdr:col>
                    <xdr:colOff>12700</xdr:colOff>
                    <xdr:row>63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5" r:id="rId50" name="Button 14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63</xdr:row>
                    <xdr:rowOff>25400</xdr:rowOff>
                  </from>
                  <to>
                    <xdr:col>19</xdr:col>
                    <xdr:colOff>12700</xdr:colOff>
                    <xdr:row>64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6" r:id="rId51" name="Button 14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64</xdr:row>
                    <xdr:rowOff>25400</xdr:rowOff>
                  </from>
                  <to>
                    <xdr:col>19</xdr:col>
                    <xdr:colOff>12700</xdr:colOff>
                    <xdr:row>65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7" r:id="rId52" name="Button 14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65</xdr:row>
                    <xdr:rowOff>25400</xdr:rowOff>
                  </from>
                  <to>
                    <xdr:col>19</xdr:col>
                    <xdr:colOff>12700</xdr:colOff>
                    <xdr:row>66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8" r:id="rId53" name="Button 14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66</xdr:row>
                    <xdr:rowOff>25400</xdr:rowOff>
                  </from>
                  <to>
                    <xdr:col>19</xdr:col>
                    <xdr:colOff>12700</xdr:colOff>
                    <xdr:row>67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19" r:id="rId54" name="Button 14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67</xdr:row>
                    <xdr:rowOff>25400</xdr:rowOff>
                  </from>
                  <to>
                    <xdr:col>19</xdr:col>
                    <xdr:colOff>12700</xdr:colOff>
                    <xdr:row>68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0" r:id="rId55" name="Button 14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68</xdr:row>
                    <xdr:rowOff>25400</xdr:rowOff>
                  </from>
                  <to>
                    <xdr:col>19</xdr:col>
                    <xdr:colOff>12700</xdr:colOff>
                    <xdr:row>69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1" r:id="rId56" name="Button 14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69</xdr:row>
                    <xdr:rowOff>25400</xdr:rowOff>
                  </from>
                  <to>
                    <xdr:col>19</xdr:col>
                    <xdr:colOff>12700</xdr:colOff>
                    <xdr:row>70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2" r:id="rId57" name="Button 15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70</xdr:row>
                    <xdr:rowOff>25400</xdr:rowOff>
                  </from>
                  <to>
                    <xdr:col>19</xdr:col>
                    <xdr:colOff>12700</xdr:colOff>
                    <xdr:row>71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3" r:id="rId58" name="Button 15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71</xdr:row>
                    <xdr:rowOff>25400</xdr:rowOff>
                  </from>
                  <to>
                    <xdr:col>19</xdr:col>
                    <xdr:colOff>12700</xdr:colOff>
                    <xdr:row>72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4" r:id="rId59" name="Button 15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72</xdr:row>
                    <xdr:rowOff>25400</xdr:rowOff>
                  </from>
                  <to>
                    <xdr:col>19</xdr:col>
                    <xdr:colOff>12700</xdr:colOff>
                    <xdr:row>73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5" r:id="rId60" name="Button 15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73</xdr:row>
                    <xdr:rowOff>25400</xdr:rowOff>
                  </from>
                  <to>
                    <xdr:col>19</xdr:col>
                    <xdr:colOff>12700</xdr:colOff>
                    <xdr:row>74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6" r:id="rId61" name="Button 15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74</xdr:row>
                    <xdr:rowOff>25400</xdr:rowOff>
                  </from>
                  <to>
                    <xdr:col>19</xdr:col>
                    <xdr:colOff>12700</xdr:colOff>
                    <xdr:row>75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7" r:id="rId62" name="Button 15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75</xdr:row>
                    <xdr:rowOff>25400</xdr:rowOff>
                  </from>
                  <to>
                    <xdr:col>19</xdr:col>
                    <xdr:colOff>12700</xdr:colOff>
                    <xdr:row>76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8" r:id="rId63" name="Button 15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76</xdr:row>
                    <xdr:rowOff>25400</xdr:rowOff>
                  </from>
                  <to>
                    <xdr:col>19</xdr:col>
                    <xdr:colOff>12700</xdr:colOff>
                    <xdr:row>77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29" r:id="rId64" name="Button 15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77</xdr:row>
                    <xdr:rowOff>25400</xdr:rowOff>
                  </from>
                  <to>
                    <xdr:col>19</xdr:col>
                    <xdr:colOff>12700</xdr:colOff>
                    <xdr:row>78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0" r:id="rId65" name="Button 15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78</xdr:row>
                    <xdr:rowOff>25400</xdr:rowOff>
                  </from>
                  <to>
                    <xdr:col>19</xdr:col>
                    <xdr:colOff>12700</xdr:colOff>
                    <xdr:row>79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1" r:id="rId66" name="Button 15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79</xdr:row>
                    <xdr:rowOff>25400</xdr:rowOff>
                  </from>
                  <to>
                    <xdr:col>19</xdr:col>
                    <xdr:colOff>12700</xdr:colOff>
                    <xdr:row>80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2" r:id="rId67" name="Button 16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80</xdr:row>
                    <xdr:rowOff>25400</xdr:rowOff>
                  </from>
                  <to>
                    <xdr:col>19</xdr:col>
                    <xdr:colOff>12700</xdr:colOff>
                    <xdr:row>81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3" r:id="rId68" name="Button 16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81</xdr:row>
                    <xdr:rowOff>25400</xdr:rowOff>
                  </from>
                  <to>
                    <xdr:col>19</xdr:col>
                    <xdr:colOff>12700</xdr:colOff>
                    <xdr:row>82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4" r:id="rId69" name="Button 16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82</xdr:row>
                    <xdr:rowOff>25400</xdr:rowOff>
                  </from>
                  <to>
                    <xdr:col>19</xdr:col>
                    <xdr:colOff>12700</xdr:colOff>
                    <xdr:row>83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5" r:id="rId70" name="Button 16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83</xdr:row>
                    <xdr:rowOff>25400</xdr:rowOff>
                  </from>
                  <to>
                    <xdr:col>19</xdr:col>
                    <xdr:colOff>12700</xdr:colOff>
                    <xdr:row>84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6" r:id="rId71" name="Button 16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84</xdr:row>
                    <xdr:rowOff>25400</xdr:rowOff>
                  </from>
                  <to>
                    <xdr:col>19</xdr:col>
                    <xdr:colOff>12700</xdr:colOff>
                    <xdr:row>85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7" r:id="rId72" name="Button 16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85</xdr:row>
                    <xdr:rowOff>25400</xdr:rowOff>
                  </from>
                  <to>
                    <xdr:col>19</xdr:col>
                    <xdr:colOff>12700</xdr:colOff>
                    <xdr:row>86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8" r:id="rId73" name="Button 16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86</xdr:row>
                    <xdr:rowOff>25400</xdr:rowOff>
                  </from>
                  <to>
                    <xdr:col>19</xdr:col>
                    <xdr:colOff>12700</xdr:colOff>
                    <xdr:row>87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39" r:id="rId74" name="Button 16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87</xdr:row>
                    <xdr:rowOff>25400</xdr:rowOff>
                  </from>
                  <to>
                    <xdr:col>19</xdr:col>
                    <xdr:colOff>12700</xdr:colOff>
                    <xdr:row>88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0" r:id="rId75" name="Button 16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88</xdr:row>
                    <xdr:rowOff>25400</xdr:rowOff>
                  </from>
                  <to>
                    <xdr:col>19</xdr:col>
                    <xdr:colOff>12700</xdr:colOff>
                    <xdr:row>89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1" r:id="rId76" name="Button 16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89</xdr:row>
                    <xdr:rowOff>25400</xdr:rowOff>
                  </from>
                  <to>
                    <xdr:col>19</xdr:col>
                    <xdr:colOff>12700</xdr:colOff>
                    <xdr:row>90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2" r:id="rId77" name="Button 170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90</xdr:row>
                    <xdr:rowOff>25400</xdr:rowOff>
                  </from>
                  <to>
                    <xdr:col>19</xdr:col>
                    <xdr:colOff>12700</xdr:colOff>
                    <xdr:row>91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3" r:id="rId78" name="Button 171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91</xdr:row>
                    <xdr:rowOff>25400</xdr:rowOff>
                  </from>
                  <to>
                    <xdr:col>19</xdr:col>
                    <xdr:colOff>12700</xdr:colOff>
                    <xdr:row>92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4" r:id="rId79" name="Button 172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92</xdr:row>
                    <xdr:rowOff>25400</xdr:rowOff>
                  </from>
                  <to>
                    <xdr:col>19</xdr:col>
                    <xdr:colOff>12700</xdr:colOff>
                    <xdr:row>93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5" r:id="rId80" name="Button 17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93</xdr:row>
                    <xdr:rowOff>25400</xdr:rowOff>
                  </from>
                  <to>
                    <xdr:col>19</xdr:col>
                    <xdr:colOff>12700</xdr:colOff>
                    <xdr:row>94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6" r:id="rId81" name="Button 174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94</xdr:row>
                    <xdr:rowOff>25400</xdr:rowOff>
                  </from>
                  <to>
                    <xdr:col>19</xdr:col>
                    <xdr:colOff>12700</xdr:colOff>
                    <xdr:row>95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7" r:id="rId82" name="Button 175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95</xdr:row>
                    <xdr:rowOff>25400</xdr:rowOff>
                  </from>
                  <to>
                    <xdr:col>19</xdr:col>
                    <xdr:colOff>12700</xdr:colOff>
                    <xdr:row>96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8" r:id="rId83" name="Button 176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96</xdr:row>
                    <xdr:rowOff>25400</xdr:rowOff>
                  </from>
                  <to>
                    <xdr:col>19</xdr:col>
                    <xdr:colOff>12700</xdr:colOff>
                    <xdr:row>97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49" r:id="rId84" name="Button 177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97</xdr:row>
                    <xdr:rowOff>25400</xdr:rowOff>
                  </from>
                  <to>
                    <xdr:col>19</xdr:col>
                    <xdr:colOff>12700</xdr:colOff>
                    <xdr:row>98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0" r:id="rId85" name="Button 178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98</xdr:row>
                    <xdr:rowOff>25400</xdr:rowOff>
                  </from>
                  <to>
                    <xdr:col>19</xdr:col>
                    <xdr:colOff>12700</xdr:colOff>
                    <xdr:row>99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51" r:id="rId86" name="Button 179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99</xdr:row>
                    <xdr:rowOff>25400</xdr:rowOff>
                  </from>
                  <to>
                    <xdr:col>19</xdr:col>
                    <xdr:colOff>12700</xdr:colOff>
                    <xdr:row>100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265" r:id="rId87" name="Button 193">
              <controlPr defaultSize="0" print="0" autoFill="0" autoPict="0" macro="[0]!cloneMSsheet">
                <anchor moveWithCells="1">
                  <from>
                    <xdr:col>18</xdr:col>
                    <xdr:colOff>12700</xdr:colOff>
                    <xdr:row>20</xdr:row>
                    <xdr:rowOff>25400</xdr:rowOff>
                  </from>
                  <to>
                    <xdr:col>19</xdr:col>
                    <xdr:colOff>12700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176DD87-0ECC-4241-ADB9-0C7CFCF7658E}">
            <xm:f>$A21=form_data!$J$5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id="{8D7C0B62-171F-5E41-8496-A3082952A871}">
            <xm:f>$A21=form_data!$J$4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0AD24C30-CA64-7643-A12E-B2A0BF1C8AF8}">
            <xm:f>$A21=form_data!$J$3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4" id="{B1585932-399D-5442-8BA0-843D169765B2}">
            <xm:f>$A21=form_data!$J$2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D21:L100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form_data!$J$8:$J$10</xm:f>
          </x14:formula1>
          <xm:sqref>B21:B100</xm:sqref>
        </x14:dataValidation>
        <x14:dataValidation type="list" allowBlank="1" showInputMessage="1" showErrorMessage="1">
          <x14:formula1>
            <xm:f>form_data!$J$23:$J$25</xm:f>
          </x14:formula1>
          <xm:sqref>C21:C100</xm:sqref>
        </x14:dataValidation>
        <x14:dataValidation type="list" allowBlank="1" showInputMessage="1" showErrorMessage="1">
          <x14:formula1>
            <xm:f>form_data!$J$2:$J$5</xm:f>
          </x14:formula1>
          <xm:sqref>A21:A100</xm:sqref>
        </x14:dataValidation>
        <x14:dataValidation type="list" allowBlank="1" showInputMessage="1" showErrorMessage="1">
          <x14:formula1>
            <xm:f>form_data!$J$13:$J$20</xm:f>
          </x14:formula1>
          <xm:sqref>B10:C10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60"/>
  <sheetViews>
    <sheetView workbookViewId="0">
      <selection activeCell="G1" sqref="G1"/>
    </sheetView>
  </sheetViews>
  <sheetFormatPr baseColWidth="10" defaultRowHeight="15" x14ac:dyDescent="0"/>
  <cols>
    <col min="1" max="1" width="15.83203125" bestFit="1" customWidth="1"/>
    <col min="2" max="2" width="16.1640625" bestFit="1" customWidth="1"/>
    <col min="3" max="3" width="18.5" bestFit="1" customWidth="1"/>
    <col min="4" max="4" width="14.1640625" bestFit="1" customWidth="1"/>
    <col min="5" max="5" width="12" bestFit="1" customWidth="1"/>
    <col min="6" max="6" width="18.1640625" bestFit="1" customWidth="1"/>
    <col min="7" max="7" width="10.33203125" bestFit="1" customWidth="1"/>
    <col min="8" max="8" width="16.83203125" bestFit="1" customWidth="1"/>
    <col min="9" max="9" width="19" bestFit="1" customWidth="1"/>
    <col min="10" max="10" width="21.33203125" bestFit="1" customWidth="1"/>
    <col min="11" max="12" width="10.83203125" customWidth="1"/>
  </cols>
  <sheetData>
    <row r="1" spans="1:12">
      <c r="A1" s="59" t="s">
        <v>276</v>
      </c>
      <c r="B1" s="71" t="s">
        <v>136</v>
      </c>
      <c r="C1" s="63"/>
      <c r="F1" s="21" t="s">
        <v>467</v>
      </c>
      <c r="G1" s="21"/>
    </row>
    <row r="2" spans="1:12">
      <c r="A2" s="53" t="s">
        <v>35</v>
      </c>
      <c r="B2" s="29"/>
      <c r="C2" s="64"/>
      <c r="F2" s="21" t="s">
        <v>467</v>
      </c>
      <c r="G2" s="21"/>
    </row>
    <row r="3" spans="1:12" hidden="1">
      <c r="A3" s="22" t="s">
        <v>71</v>
      </c>
      <c r="B3" s="49"/>
      <c r="C3" s="64"/>
    </row>
    <row r="4" spans="1:12" hidden="1">
      <c r="A4" s="22" t="s">
        <v>72</v>
      </c>
      <c r="B4" s="49"/>
      <c r="C4" s="65"/>
    </row>
    <row r="5" spans="1:12">
      <c r="A5" s="264" t="s">
        <v>70</v>
      </c>
      <c r="B5" s="57" t="s">
        <v>32</v>
      </c>
      <c r="C5" s="54" t="s">
        <v>33</v>
      </c>
    </row>
    <row r="6" spans="1:12" ht="16" thickBot="1">
      <c r="A6" s="264"/>
      <c r="B6" s="29"/>
      <c r="C6" s="30"/>
    </row>
    <row r="7" spans="1:12">
      <c r="A7" s="264" t="s">
        <v>48</v>
      </c>
      <c r="B7" s="57" t="s">
        <v>65</v>
      </c>
      <c r="C7" s="54" t="s">
        <v>66</v>
      </c>
      <c r="D7" s="59" t="s">
        <v>210</v>
      </c>
      <c r="E7" s="86" t="s">
        <v>214</v>
      </c>
    </row>
    <row r="8" spans="1:12" ht="16" thickBot="1">
      <c r="A8" s="265"/>
      <c r="B8" s="31"/>
      <c r="C8" s="66"/>
      <c r="D8" s="75"/>
      <c r="E8" s="66"/>
    </row>
    <row r="9" spans="1:12" ht="16" thickBot="1">
      <c r="A9" s="61"/>
      <c r="B9" s="62"/>
      <c r="C9" s="62"/>
    </row>
    <row r="10" spans="1:12" ht="16" thickBot="1">
      <c r="A10" s="37" t="s">
        <v>42</v>
      </c>
      <c r="B10" s="37" t="s">
        <v>213</v>
      </c>
      <c r="C10" s="67" t="s">
        <v>420</v>
      </c>
      <c r="D10" s="67" t="s">
        <v>43</v>
      </c>
      <c r="E10" s="67" t="s">
        <v>44</v>
      </c>
      <c r="F10" s="67" t="s">
        <v>45</v>
      </c>
      <c r="G10" s="67" t="s">
        <v>46</v>
      </c>
      <c r="H10" s="237" t="s">
        <v>465</v>
      </c>
      <c r="I10" s="238" t="s">
        <v>466</v>
      </c>
      <c r="J10" s="238" t="s">
        <v>507</v>
      </c>
      <c r="L10" t="s">
        <v>508</v>
      </c>
    </row>
    <row r="11" spans="1:12">
      <c r="A11" s="72"/>
      <c r="B11" s="73"/>
      <c r="C11" s="73"/>
      <c r="D11" s="73"/>
      <c r="E11" s="73"/>
      <c r="F11" s="73"/>
      <c r="G11" s="71"/>
      <c r="H11" s="157"/>
      <c r="I11" s="239"/>
      <c r="J11" s="236" t="s">
        <v>503</v>
      </c>
      <c r="L11" t="s">
        <v>509</v>
      </c>
    </row>
    <row r="12" spans="1:12">
      <c r="A12" s="70"/>
      <c r="B12" s="29"/>
      <c r="C12" s="29"/>
      <c r="D12" s="29"/>
      <c r="E12" s="29"/>
      <c r="F12" s="29"/>
      <c r="G12" s="29"/>
      <c r="H12" s="49"/>
      <c r="I12" s="19"/>
      <c r="J12" s="236" t="s">
        <v>503</v>
      </c>
    </row>
    <row r="13" spans="1:12">
      <c r="A13" s="70"/>
      <c r="B13" s="29"/>
      <c r="C13" s="29"/>
      <c r="D13" s="29"/>
      <c r="E13" s="29"/>
      <c r="F13" s="29"/>
      <c r="G13" s="29"/>
      <c r="H13" s="49"/>
      <c r="I13" s="19"/>
      <c r="J13" s="236" t="s">
        <v>503</v>
      </c>
    </row>
    <row r="14" spans="1:12">
      <c r="A14" s="70"/>
      <c r="B14" s="29"/>
      <c r="C14" s="29"/>
      <c r="D14" s="29"/>
      <c r="E14" s="29"/>
      <c r="F14" s="29"/>
      <c r="G14" s="29"/>
      <c r="H14" s="49"/>
      <c r="I14" s="19"/>
      <c r="J14" s="236" t="s">
        <v>503</v>
      </c>
    </row>
    <row r="15" spans="1:12">
      <c r="A15" s="70"/>
      <c r="B15" s="29"/>
      <c r="C15" s="29"/>
      <c r="D15" s="29"/>
      <c r="E15" s="29"/>
      <c r="F15" s="29"/>
      <c r="G15" s="29"/>
      <c r="H15" s="49"/>
      <c r="I15" s="19"/>
      <c r="J15" s="236" t="s">
        <v>503</v>
      </c>
    </row>
    <row r="16" spans="1:12">
      <c r="A16" s="70"/>
      <c r="B16" s="29"/>
      <c r="C16" s="29"/>
      <c r="D16" s="29"/>
      <c r="E16" s="29"/>
      <c r="F16" s="29"/>
      <c r="G16" s="29"/>
      <c r="H16" s="49"/>
      <c r="I16" s="19"/>
      <c r="J16" s="236" t="s">
        <v>503</v>
      </c>
    </row>
    <row r="17" spans="1:10">
      <c r="A17" s="70"/>
      <c r="B17" s="29"/>
      <c r="C17" s="29"/>
      <c r="D17" s="29"/>
      <c r="E17" s="29"/>
      <c r="F17" s="29"/>
      <c r="G17" s="29"/>
      <c r="H17" s="49"/>
      <c r="I17" s="19"/>
      <c r="J17" s="236" t="s">
        <v>503</v>
      </c>
    </row>
    <row r="18" spans="1:10">
      <c r="A18" s="70"/>
      <c r="B18" s="29"/>
      <c r="C18" s="29"/>
      <c r="D18" s="29"/>
      <c r="E18" s="29"/>
      <c r="F18" s="29"/>
      <c r="G18" s="29"/>
      <c r="H18" s="49"/>
      <c r="I18" s="19"/>
      <c r="J18" s="236" t="s">
        <v>503</v>
      </c>
    </row>
    <row r="19" spans="1:10">
      <c r="A19" s="70"/>
      <c r="B19" s="29"/>
      <c r="C19" s="29"/>
      <c r="D19" s="29"/>
      <c r="E19" s="29"/>
      <c r="F19" s="29"/>
      <c r="G19" s="29"/>
      <c r="H19" s="49"/>
      <c r="I19" s="19"/>
      <c r="J19" s="236" t="s">
        <v>503</v>
      </c>
    </row>
    <row r="20" spans="1:10">
      <c r="A20" s="70"/>
      <c r="B20" s="29"/>
      <c r="C20" s="29"/>
      <c r="D20" s="29"/>
      <c r="E20" s="29"/>
      <c r="F20" s="29"/>
      <c r="G20" s="29"/>
      <c r="H20" s="49"/>
      <c r="I20" s="19"/>
      <c r="J20" s="236" t="s">
        <v>503</v>
      </c>
    </row>
    <row r="21" spans="1:10">
      <c r="A21" s="70"/>
      <c r="B21" s="29"/>
      <c r="C21" s="29"/>
      <c r="D21" s="29"/>
      <c r="E21" s="29"/>
      <c r="F21" s="29"/>
      <c r="G21" s="29"/>
      <c r="H21" s="49"/>
      <c r="I21" s="19"/>
      <c r="J21" s="236" t="s">
        <v>503</v>
      </c>
    </row>
    <row r="22" spans="1:10">
      <c r="A22" s="70"/>
      <c r="B22" s="29"/>
      <c r="C22" s="29"/>
      <c r="D22" s="29"/>
      <c r="E22" s="29"/>
      <c r="F22" s="29"/>
      <c r="G22" s="29"/>
      <c r="H22" s="49"/>
      <c r="I22" s="19"/>
      <c r="J22" s="236" t="s">
        <v>503</v>
      </c>
    </row>
    <row r="23" spans="1:10">
      <c r="A23" s="70"/>
      <c r="B23" s="29"/>
      <c r="C23" s="29"/>
      <c r="D23" s="29"/>
      <c r="E23" s="29"/>
      <c r="F23" s="29"/>
      <c r="G23" s="29"/>
      <c r="H23" s="49"/>
      <c r="I23" s="19"/>
      <c r="J23" s="236" t="s">
        <v>503</v>
      </c>
    </row>
    <row r="24" spans="1:10">
      <c r="A24" s="70"/>
      <c r="B24" s="29"/>
      <c r="C24" s="29"/>
      <c r="D24" s="29"/>
      <c r="E24" s="29"/>
      <c r="F24" s="29"/>
      <c r="G24" s="29"/>
      <c r="H24" s="49"/>
      <c r="I24" s="19"/>
      <c r="J24" s="236" t="s">
        <v>503</v>
      </c>
    </row>
    <row r="25" spans="1:10">
      <c r="A25" s="70"/>
      <c r="B25" s="29"/>
      <c r="C25" s="29"/>
      <c r="D25" s="29"/>
      <c r="E25" s="29"/>
      <c r="F25" s="29"/>
      <c r="G25" s="29"/>
      <c r="H25" s="49"/>
      <c r="I25" s="19"/>
      <c r="J25" s="236" t="s">
        <v>503</v>
      </c>
    </row>
    <row r="26" spans="1:10">
      <c r="A26" s="70"/>
      <c r="B26" s="29"/>
      <c r="C26" s="29"/>
      <c r="D26" s="29"/>
      <c r="E26" s="29"/>
      <c r="F26" s="29"/>
      <c r="G26" s="29"/>
      <c r="H26" s="49"/>
      <c r="I26" s="19"/>
      <c r="J26" s="236" t="s">
        <v>503</v>
      </c>
    </row>
    <row r="27" spans="1:10">
      <c r="A27" s="70"/>
      <c r="B27" s="29"/>
      <c r="C27" s="29"/>
      <c r="D27" s="29"/>
      <c r="E27" s="29"/>
      <c r="F27" s="29"/>
      <c r="G27" s="29"/>
      <c r="H27" s="49"/>
      <c r="I27" s="19"/>
      <c r="J27" s="236" t="s">
        <v>503</v>
      </c>
    </row>
    <row r="28" spans="1:10">
      <c r="A28" s="70"/>
      <c r="B28" s="29"/>
      <c r="C28" s="29"/>
      <c r="D28" s="29"/>
      <c r="E28" s="29"/>
      <c r="F28" s="29"/>
      <c r="G28" s="29"/>
      <c r="H28" s="49"/>
      <c r="I28" s="19"/>
      <c r="J28" s="236" t="s">
        <v>503</v>
      </c>
    </row>
    <row r="29" spans="1:10">
      <c r="A29" s="70"/>
      <c r="B29" s="29"/>
      <c r="C29" s="29"/>
      <c r="D29" s="29"/>
      <c r="E29" s="29"/>
      <c r="F29" s="29"/>
      <c r="G29" s="29"/>
      <c r="H29" s="49"/>
      <c r="I29" s="19"/>
      <c r="J29" s="236" t="s">
        <v>503</v>
      </c>
    </row>
    <row r="30" spans="1:10">
      <c r="A30" s="70"/>
      <c r="B30" s="29"/>
      <c r="C30" s="29"/>
      <c r="D30" s="29"/>
      <c r="E30" s="29"/>
      <c r="F30" s="29"/>
      <c r="G30" s="29"/>
      <c r="H30" s="49"/>
      <c r="I30" s="19"/>
      <c r="J30" s="236" t="s">
        <v>503</v>
      </c>
    </row>
    <row r="31" spans="1:10">
      <c r="A31" s="70"/>
      <c r="B31" s="29"/>
      <c r="C31" s="29"/>
      <c r="D31" s="29"/>
      <c r="E31" s="29"/>
      <c r="F31" s="29"/>
      <c r="G31" s="29"/>
      <c r="H31" s="49"/>
      <c r="I31" s="19"/>
      <c r="J31" s="236" t="s">
        <v>503</v>
      </c>
    </row>
    <row r="32" spans="1:10">
      <c r="A32" s="70"/>
      <c r="B32" s="29"/>
      <c r="C32" s="29"/>
      <c r="D32" s="29"/>
      <c r="E32" s="29"/>
      <c r="F32" s="29"/>
      <c r="G32" s="29"/>
      <c r="H32" s="49"/>
      <c r="I32" s="19"/>
      <c r="J32" s="236" t="s">
        <v>503</v>
      </c>
    </row>
    <row r="33" spans="1:10">
      <c r="A33" s="70"/>
      <c r="B33" s="29"/>
      <c r="C33" s="29"/>
      <c r="D33" s="29"/>
      <c r="E33" s="29"/>
      <c r="F33" s="29"/>
      <c r="G33" s="29"/>
      <c r="H33" s="49"/>
      <c r="I33" s="19"/>
      <c r="J33" s="236" t="s">
        <v>503</v>
      </c>
    </row>
    <row r="34" spans="1:10">
      <c r="A34" s="70"/>
      <c r="B34" s="29"/>
      <c r="C34" s="29"/>
      <c r="D34" s="29"/>
      <c r="E34" s="29"/>
      <c r="F34" s="29"/>
      <c r="G34" s="29"/>
      <c r="H34" s="49"/>
      <c r="I34" s="19"/>
      <c r="J34" s="236" t="s">
        <v>503</v>
      </c>
    </row>
    <row r="35" spans="1:10">
      <c r="A35" s="70"/>
      <c r="B35" s="29"/>
      <c r="C35" s="29"/>
      <c r="D35" s="29"/>
      <c r="E35" s="29"/>
      <c r="F35" s="29"/>
      <c r="G35" s="29"/>
      <c r="H35" s="49"/>
      <c r="I35" s="19"/>
      <c r="J35" s="236" t="s">
        <v>503</v>
      </c>
    </row>
    <row r="36" spans="1:10">
      <c r="A36" s="70"/>
      <c r="B36" s="29"/>
      <c r="C36" s="29"/>
      <c r="D36" s="29"/>
      <c r="E36" s="29"/>
      <c r="F36" s="29"/>
      <c r="G36" s="29"/>
      <c r="H36" s="49"/>
      <c r="I36" s="19"/>
      <c r="J36" s="236" t="s">
        <v>503</v>
      </c>
    </row>
    <row r="37" spans="1:10">
      <c r="A37" s="70"/>
      <c r="B37" s="29"/>
      <c r="C37" s="29"/>
      <c r="D37" s="29"/>
      <c r="E37" s="29"/>
      <c r="F37" s="29"/>
      <c r="G37" s="29"/>
      <c r="H37" s="49"/>
      <c r="I37" s="19"/>
      <c r="J37" s="236" t="s">
        <v>503</v>
      </c>
    </row>
    <row r="38" spans="1:10">
      <c r="A38" s="70"/>
      <c r="B38" s="29"/>
      <c r="C38" s="29"/>
      <c r="D38" s="29"/>
      <c r="E38" s="29"/>
      <c r="F38" s="29"/>
      <c r="G38" s="29"/>
      <c r="H38" s="49"/>
      <c r="I38" s="19"/>
      <c r="J38" s="236" t="s">
        <v>503</v>
      </c>
    </row>
    <row r="39" spans="1:10">
      <c r="A39" s="70"/>
      <c r="B39" s="29"/>
      <c r="C39" s="29"/>
      <c r="D39" s="29"/>
      <c r="E39" s="29"/>
      <c r="F39" s="29"/>
      <c r="G39" s="29"/>
      <c r="H39" s="49"/>
      <c r="I39" s="19"/>
      <c r="J39" s="236" t="s">
        <v>503</v>
      </c>
    </row>
    <row r="40" spans="1:10">
      <c r="A40" s="70"/>
      <c r="B40" s="29"/>
      <c r="C40" s="29"/>
      <c r="D40" s="29"/>
      <c r="E40" s="29"/>
      <c r="F40" s="29"/>
      <c r="G40" s="29"/>
      <c r="H40" s="49"/>
      <c r="I40" s="19"/>
      <c r="J40" s="236" t="s">
        <v>503</v>
      </c>
    </row>
    <row r="41" spans="1:10">
      <c r="A41" s="70"/>
      <c r="B41" s="29"/>
      <c r="C41" s="29"/>
      <c r="D41" s="29"/>
      <c r="E41" s="29"/>
      <c r="F41" s="29"/>
      <c r="G41" s="29"/>
      <c r="H41" s="49"/>
      <c r="I41" s="19"/>
      <c r="J41" s="236" t="s">
        <v>503</v>
      </c>
    </row>
    <row r="42" spans="1:10">
      <c r="A42" s="70"/>
      <c r="B42" s="29"/>
      <c r="C42" s="29"/>
      <c r="D42" s="29"/>
      <c r="E42" s="29"/>
      <c r="F42" s="29"/>
      <c r="G42" s="29"/>
      <c r="H42" s="49"/>
      <c r="I42" s="19"/>
      <c r="J42" s="236" t="s">
        <v>503</v>
      </c>
    </row>
    <row r="43" spans="1:10">
      <c r="A43" s="70"/>
      <c r="B43" s="29"/>
      <c r="C43" s="29"/>
      <c r="D43" s="29"/>
      <c r="E43" s="29"/>
      <c r="F43" s="29"/>
      <c r="G43" s="29"/>
      <c r="H43" s="49"/>
      <c r="I43" s="19"/>
      <c r="J43" s="236" t="s">
        <v>503</v>
      </c>
    </row>
    <row r="44" spans="1:10">
      <c r="A44" s="70"/>
      <c r="B44" s="29"/>
      <c r="C44" s="29"/>
      <c r="D44" s="29"/>
      <c r="E44" s="29"/>
      <c r="F44" s="29"/>
      <c r="G44" s="29"/>
      <c r="H44" s="49"/>
      <c r="I44" s="19"/>
      <c r="J44" s="236" t="s">
        <v>503</v>
      </c>
    </row>
    <row r="45" spans="1:10">
      <c r="A45" s="70"/>
      <c r="B45" s="29"/>
      <c r="C45" s="29"/>
      <c r="D45" s="29"/>
      <c r="E45" s="29"/>
      <c r="F45" s="29"/>
      <c r="G45" s="29"/>
      <c r="H45" s="49"/>
      <c r="I45" s="19"/>
      <c r="J45" s="236" t="s">
        <v>503</v>
      </c>
    </row>
    <row r="46" spans="1:10">
      <c r="A46" s="70"/>
      <c r="B46" s="29"/>
      <c r="C46" s="29"/>
      <c r="D46" s="29"/>
      <c r="E46" s="29"/>
      <c r="F46" s="29"/>
      <c r="G46" s="29"/>
      <c r="H46" s="49"/>
      <c r="I46" s="19"/>
      <c r="J46" s="236" t="s">
        <v>503</v>
      </c>
    </row>
    <row r="47" spans="1:10">
      <c r="A47" s="70"/>
      <c r="B47" s="29"/>
      <c r="C47" s="29"/>
      <c r="D47" s="29"/>
      <c r="E47" s="29"/>
      <c r="F47" s="29"/>
      <c r="G47" s="29"/>
      <c r="H47" s="49"/>
      <c r="I47" s="19"/>
      <c r="J47" s="236" t="s">
        <v>503</v>
      </c>
    </row>
    <row r="48" spans="1:10">
      <c r="A48" s="70"/>
      <c r="B48" s="29"/>
      <c r="C48" s="29"/>
      <c r="D48" s="29"/>
      <c r="E48" s="29"/>
      <c r="F48" s="29"/>
      <c r="G48" s="29"/>
      <c r="H48" s="49"/>
      <c r="I48" s="19"/>
      <c r="J48" s="236" t="s">
        <v>503</v>
      </c>
    </row>
    <row r="49" spans="1:10">
      <c r="A49" s="70"/>
      <c r="B49" s="29"/>
      <c r="C49" s="29"/>
      <c r="D49" s="29"/>
      <c r="E49" s="29"/>
      <c r="F49" s="29"/>
      <c r="G49" s="29"/>
      <c r="H49" s="49"/>
      <c r="I49" s="19"/>
      <c r="J49" s="236" t="s">
        <v>503</v>
      </c>
    </row>
    <row r="50" spans="1:10">
      <c r="A50" s="70"/>
      <c r="B50" s="29"/>
      <c r="C50" s="29"/>
      <c r="D50" s="29"/>
      <c r="E50" s="29"/>
      <c r="F50" s="29"/>
      <c r="G50" s="29"/>
      <c r="H50" s="49"/>
      <c r="I50" s="19"/>
      <c r="J50" s="236" t="s">
        <v>503</v>
      </c>
    </row>
    <row r="51" spans="1:10">
      <c r="A51" s="70"/>
      <c r="B51" s="29"/>
      <c r="C51" s="29"/>
      <c r="D51" s="29"/>
      <c r="E51" s="29"/>
      <c r="F51" s="29"/>
      <c r="G51" s="29"/>
      <c r="H51" s="49"/>
      <c r="I51" s="19"/>
      <c r="J51" s="236" t="s">
        <v>503</v>
      </c>
    </row>
    <row r="52" spans="1:10">
      <c r="A52" s="70"/>
      <c r="B52" s="29"/>
      <c r="C52" s="29"/>
      <c r="D52" s="29"/>
      <c r="E52" s="29"/>
      <c r="F52" s="29"/>
      <c r="G52" s="29"/>
      <c r="H52" s="49"/>
      <c r="I52" s="19"/>
      <c r="J52" s="236" t="s">
        <v>503</v>
      </c>
    </row>
    <row r="53" spans="1:10">
      <c r="A53" s="70"/>
      <c r="B53" s="29"/>
      <c r="C53" s="29"/>
      <c r="D53" s="29"/>
      <c r="E53" s="29"/>
      <c r="F53" s="29"/>
      <c r="G53" s="29"/>
      <c r="H53" s="49"/>
      <c r="I53" s="19"/>
      <c r="J53" s="236" t="s">
        <v>503</v>
      </c>
    </row>
    <row r="54" spans="1:10">
      <c r="A54" s="70"/>
      <c r="B54" s="29"/>
      <c r="C54" s="29"/>
      <c r="D54" s="29"/>
      <c r="E54" s="29"/>
      <c r="F54" s="29"/>
      <c r="G54" s="29"/>
      <c r="H54" s="49"/>
      <c r="I54" s="19"/>
      <c r="J54" s="236" t="s">
        <v>503</v>
      </c>
    </row>
    <row r="55" spans="1:10">
      <c r="A55" s="70"/>
      <c r="B55" s="29"/>
      <c r="C55" s="29"/>
      <c r="D55" s="29"/>
      <c r="E55" s="29"/>
      <c r="F55" s="29"/>
      <c r="G55" s="29"/>
      <c r="H55" s="49"/>
      <c r="I55" s="19"/>
      <c r="J55" s="236" t="s">
        <v>503</v>
      </c>
    </row>
    <row r="56" spans="1:10">
      <c r="A56" s="70"/>
      <c r="B56" s="29"/>
      <c r="C56" s="29"/>
      <c r="D56" s="29"/>
      <c r="E56" s="29"/>
      <c r="F56" s="29"/>
      <c r="G56" s="29"/>
      <c r="H56" s="49"/>
      <c r="I56" s="19"/>
      <c r="J56" s="236" t="s">
        <v>503</v>
      </c>
    </row>
    <row r="57" spans="1:10">
      <c r="A57" s="70"/>
      <c r="B57" s="29"/>
      <c r="C57" s="29"/>
      <c r="D57" s="29"/>
      <c r="E57" s="29"/>
      <c r="F57" s="29"/>
      <c r="G57" s="29"/>
      <c r="H57" s="49"/>
      <c r="I57" s="19"/>
      <c r="J57" s="236" t="s">
        <v>503</v>
      </c>
    </row>
    <row r="58" spans="1:10">
      <c r="A58" s="70"/>
      <c r="B58" s="29"/>
      <c r="C58" s="29"/>
      <c r="D58" s="29"/>
      <c r="E58" s="29"/>
      <c r="F58" s="29"/>
      <c r="G58" s="29"/>
      <c r="H58" s="49"/>
      <c r="I58" s="19"/>
      <c r="J58" s="236" t="s">
        <v>503</v>
      </c>
    </row>
    <row r="59" spans="1:10">
      <c r="A59" s="70"/>
      <c r="B59" s="29"/>
      <c r="C59" s="29"/>
      <c r="D59" s="29"/>
      <c r="E59" s="29"/>
      <c r="F59" s="29"/>
      <c r="G59" s="29"/>
      <c r="H59" s="49"/>
      <c r="I59" s="19"/>
      <c r="J59" s="236" t="s">
        <v>503</v>
      </c>
    </row>
    <row r="60" spans="1:10" ht="16" thickBot="1">
      <c r="A60" s="75"/>
      <c r="B60" s="31"/>
      <c r="C60" s="31"/>
      <c r="D60" s="31"/>
      <c r="E60" s="31"/>
      <c r="F60" s="31"/>
      <c r="G60" s="31"/>
      <c r="H60" s="52"/>
      <c r="I60" s="33"/>
      <c r="J60" s="236" t="s">
        <v>503</v>
      </c>
    </row>
  </sheetData>
  <mergeCells count="2">
    <mergeCell ref="A7:A8"/>
    <mergeCell ref="A5:A6"/>
  </mergeCells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183E87D5-A59A-7748-968B-AA799D169360}">
            <xm:f>$B$1=form_data!$J$5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2" id="{EA1C82C2-2C90-FD45-9851-77EA92320782}">
            <xm:f>$B$1=form_data!$J$4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3" id="{87218482-530A-8E41-9B6F-023268EC6A51}">
            <xm:f>$B$1=form_data!$J$3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expression" priority="14" id="{CB6DF13C-3A84-8D4B-8A5A-2C4B0F8F044C}">
            <xm:f>$B$1=form_data!$J$2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A3:B4</xm:sqref>
        </x14:conditionalFormatting>
        <x14:conditionalFormatting xmlns:xm="http://schemas.microsoft.com/office/excel/2006/main">
          <x14:cfRule type="expression" priority="9" id="{CB758CEF-D8F5-E940-807A-41D9D5BF7978}">
            <xm:f>analytical_sample!$B$1=form_data!$A$3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10" id="{7AE5EDD8-B648-4F49-AFB3-E8155A25C46F}">
            <xm:f>analytical_sample!$B$1&lt;&gt;form_data!$A$3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F1:G1</xm:sqref>
        </x14:conditionalFormatting>
        <x14:conditionalFormatting xmlns:xm="http://schemas.microsoft.com/office/excel/2006/main">
          <x14:cfRule type="expression" priority="7" id="{973A1DE5-78B1-7446-981B-E4D6E43804DC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8" id="{0B1A22CF-DEBB-2540-A5A1-79DF8A66B337}">
            <xm:f>analytical_sample!$B$1&lt;&gt;form_data!$A$4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F2:G2</xm:sqref>
        </x14:conditionalFormatting>
        <x14:conditionalFormatting xmlns:xm="http://schemas.microsoft.com/office/excel/2006/main">
          <x14:cfRule type="expression" priority="4" stopIfTrue="1" id="{BE09ABF8-E879-9C4C-9F28-D13869EED759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5" stopIfTrue="1" id="{1523AD9A-47B2-E342-9CD3-950508719ED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6" id="{DAA18016-7407-D844-97A0-33BDDC064477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H10:I60</xm:sqref>
        </x14:conditionalFormatting>
        <x14:conditionalFormatting xmlns:xm="http://schemas.microsoft.com/office/excel/2006/main">
          <x14:cfRule type="expression" priority="1" stopIfTrue="1" id="{7B7517DA-566F-2E43-B860-F55D17A0D1F6}">
            <xm:f>analytical_sample!$B$1=form_data!$A$5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2" stopIfTrue="1" id="{CCF87351-4D2C-AC46-B7D8-BDBDBE2E29B3}">
            <xm:f>analytical_sample!$B$1=form_data!$A$4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expression" priority="3" id="{64D7F7F2-3830-7B4E-B503-6E7EF6FB7799}">
            <xm:f>analytical_sample!$B$1&lt;&gt;form_data!$A$5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J10:J60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form_data!$J$2:$J$5</xm:f>
          </x14:formula1>
          <xm:sqref>B1</xm:sqref>
        </x14:dataValidation>
        <x14:dataValidation type="list" allowBlank="1" showInputMessage="1" showErrorMessage="1">
          <x14:formula1>
            <xm:f>form_data!$J$8:$J$10</xm:f>
          </x14:formula1>
          <xm:sqref>B2</xm:sqref>
        </x14:dataValidation>
        <x14:dataValidation type="list" allowBlank="1" showInputMessage="1" showErrorMessage="1">
          <x14:formula1>
            <xm:f>analytical_sample!$B$26:$B$40</xm:f>
          </x14:formula1>
          <xm:sqref>G1</xm:sqref>
        </x14:dataValidation>
        <x14:dataValidation type="list" allowBlank="1" showInputMessage="1" showErrorMessage="1">
          <x14:formula1>
            <xm:f>analytical_sample!$B$46:$B$60</xm:f>
          </x14:formula1>
          <xm:sqref>G2</xm:sqref>
        </x14:dataValidation>
        <x14:dataValidation type="list" showInputMessage="1" showErrorMessage="1">
          <x14:formula1>
            <xm:f>form_data!$K$2:$K$6</xm:f>
          </x14:formula1>
          <xm:sqref>J11:J60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L72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2" ht="16" thickBot="1">
      <c r="A1" s="113" t="s">
        <v>379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" thickBot="1">
      <c r="A2" s="114" t="s">
        <v>380</v>
      </c>
      <c r="B2" s="182" t="s">
        <v>381</v>
      </c>
      <c r="C2" s="182" t="s">
        <v>382</v>
      </c>
      <c r="D2" s="115" t="s">
        <v>37</v>
      </c>
      <c r="E2" s="182" t="s">
        <v>38</v>
      </c>
      <c r="F2" s="182" t="s">
        <v>383</v>
      </c>
      <c r="G2" s="115" t="s">
        <v>384</v>
      </c>
      <c r="H2" s="182" t="s">
        <v>385</v>
      </c>
      <c r="I2" s="115" t="s">
        <v>386</v>
      </c>
      <c r="J2" s="116" t="s">
        <v>387</v>
      </c>
      <c r="K2" s="20"/>
    </row>
    <row r="3" spans="1:12">
      <c r="A3" s="124"/>
      <c r="B3" s="183"/>
      <c r="C3" s="183"/>
      <c r="D3" s="125"/>
      <c r="E3" s="183"/>
      <c r="F3" s="183"/>
      <c r="G3" s="125"/>
      <c r="H3" s="183"/>
      <c r="I3" s="125"/>
      <c r="J3" s="126"/>
      <c r="K3" s="85" t="s">
        <v>271</v>
      </c>
    </row>
    <row r="4" spans="1:12">
      <c r="A4" s="127"/>
      <c r="B4" s="184"/>
      <c r="C4" s="184"/>
      <c r="D4" s="128"/>
      <c r="E4" s="184"/>
      <c r="F4" s="184"/>
      <c r="G4" s="128"/>
      <c r="H4" s="184"/>
      <c r="I4" s="128"/>
      <c r="J4" s="129"/>
      <c r="K4" s="20"/>
    </row>
    <row r="5" spans="1:12">
      <c r="A5" s="127"/>
      <c r="B5" s="184"/>
      <c r="C5" s="184"/>
      <c r="D5" s="128"/>
      <c r="E5" s="184"/>
      <c r="F5" s="184"/>
      <c r="G5" s="128"/>
      <c r="H5" s="184"/>
      <c r="I5" s="128"/>
      <c r="J5" s="129"/>
      <c r="K5" s="20"/>
    </row>
    <row r="6" spans="1:12">
      <c r="A6" s="127"/>
      <c r="B6" s="184"/>
      <c r="C6" s="184"/>
      <c r="D6" s="128"/>
      <c r="E6" s="184"/>
      <c r="F6" s="184"/>
      <c r="G6" s="128"/>
      <c r="H6" s="184"/>
      <c r="I6" s="128"/>
      <c r="J6" s="129"/>
      <c r="K6" s="20"/>
    </row>
    <row r="7" spans="1:12">
      <c r="A7" s="127"/>
      <c r="B7" s="184"/>
      <c r="C7" s="184"/>
      <c r="D7" s="128"/>
      <c r="E7" s="184"/>
      <c r="F7" s="184"/>
      <c r="G7" s="128"/>
      <c r="H7" s="184"/>
      <c r="I7" s="128"/>
      <c r="J7" s="129"/>
      <c r="K7" s="20"/>
    </row>
    <row r="8" spans="1:12">
      <c r="A8" s="127"/>
      <c r="B8" s="184"/>
      <c r="C8" s="184"/>
      <c r="D8" s="128"/>
      <c r="E8" s="184"/>
      <c r="F8" s="184"/>
      <c r="G8" s="128"/>
      <c r="H8" s="184"/>
      <c r="I8" s="128"/>
      <c r="J8" s="129"/>
      <c r="K8" s="20"/>
    </row>
    <row r="9" spans="1:12">
      <c r="A9" s="127"/>
      <c r="B9" s="184"/>
      <c r="C9" s="184"/>
      <c r="D9" s="128"/>
      <c r="E9" s="184"/>
      <c r="F9" s="184"/>
      <c r="G9" s="128"/>
      <c r="H9" s="184"/>
      <c r="I9" s="128"/>
      <c r="J9" s="129"/>
      <c r="K9" s="20"/>
    </row>
    <row r="10" spans="1:12">
      <c r="A10" s="127"/>
      <c r="B10" s="184"/>
      <c r="C10" s="184"/>
      <c r="D10" s="128"/>
      <c r="E10" s="184"/>
      <c r="F10" s="184"/>
      <c r="G10" s="128"/>
      <c r="H10" s="184"/>
      <c r="I10" s="128"/>
      <c r="J10" s="129"/>
      <c r="K10" s="20"/>
    </row>
    <row r="11" spans="1:12">
      <c r="A11" s="127"/>
      <c r="B11" s="184"/>
      <c r="C11" s="184"/>
      <c r="D11" s="128"/>
      <c r="E11" s="184"/>
      <c r="F11" s="184"/>
      <c r="G11" s="128"/>
      <c r="H11" s="184"/>
      <c r="I11" s="128"/>
      <c r="J11" s="129"/>
      <c r="K11" s="20"/>
    </row>
    <row r="12" spans="1:12">
      <c r="A12" s="127"/>
      <c r="B12" s="184"/>
      <c r="C12" s="184"/>
      <c r="D12" s="128"/>
      <c r="E12" s="184"/>
      <c r="F12" s="184"/>
      <c r="G12" s="128"/>
      <c r="H12" s="184"/>
      <c r="I12" s="128"/>
      <c r="J12" s="129"/>
      <c r="K12" s="20"/>
    </row>
    <row r="13" spans="1:12">
      <c r="A13" s="127"/>
      <c r="B13" s="184"/>
      <c r="C13" s="184"/>
      <c r="D13" s="128"/>
      <c r="E13" s="184"/>
      <c r="F13" s="184"/>
      <c r="G13" s="128"/>
      <c r="H13" s="184"/>
      <c r="I13" s="128"/>
      <c r="J13" s="129"/>
      <c r="K13" s="20"/>
    </row>
    <row r="14" spans="1:12">
      <c r="A14" s="127"/>
      <c r="B14" s="184"/>
      <c r="C14" s="184"/>
      <c r="D14" s="128"/>
      <c r="E14" s="184"/>
      <c r="F14" s="184"/>
      <c r="G14" s="128"/>
      <c r="H14" s="184"/>
      <c r="I14" s="128"/>
      <c r="J14" s="129"/>
      <c r="K14" s="20"/>
    </row>
    <row r="15" spans="1:12">
      <c r="A15" s="127"/>
      <c r="B15" s="184"/>
      <c r="C15" s="184"/>
      <c r="D15" s="128"/>
      <c r="E15" s="184"/>
      <c r="F15" s="184"/>
      <c r="G15" s="128"/>
      <c r="H15" s="184"/>
      <c r="I15" s="128"/>
      <c r="J15" s="129"/>
      <c r="K15" s="20"/>
    </row>
    <row r="16" spans="1:12">
      <c r="A16" s="127"/>
      <c r="B16" s="184"/>
      <c r="C16" s="184"/>
      <c r="D16" s="128"/>
      <c r="E16" s="184"/>
      <c r="F16" s="184"/>
      <c r="G16" s="128"/>
      <c r="H16" s="184"/>
      <c r="I16" s="128"/>
      <c r="J16" s="129"/>
      <c r="K16" s="20"/>
    </row>
    <row r="17" spans="1:12" ht="16" thickBot="1">
      <c r="A17" s="130"/>
      <c r="B17" s="185"/>
      <c r="C17" s="185"/>
      <c r="D17" s="131"/>
      <c r="E17" s="185"/>
      <c r="F17" s="185"/>
      <c r="G17" s="131"/>
      <c r="H17" s="185"/>
      <c r="I17" s="131"/>
      <c r="J17" s="132"/>
      <c r="K17" s="85" t="s">
        <v>270</v>
      </c>
    </row>
    <row r="18" spans="1:12" ht="16" thickBot="1"/>
    <row r="19" spans="1:12" ht="16" thickBot="1">
      <c r="A19" s="118" t="s">
        <v>388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  <row r="20" spans="1:12" ht="16" thickBot="1">
      <c r="A20" s="143" t="s">
        <v>380</v>
      </c>
      <c r="B20" s="186" t="s">
        <v>381</v>
      </c>
      <c r="C20" s="186" t="s">
        <v>382</v>
      </c>
      <c r="D20" s="199" t="s">
        <v>37</v>
      </c>
      <c r="E20" s="186" t="s">
        <v>38</v>
      </c>
      <c r="F20" s="186" t="s">
        <v>383</v>
      </c>
      <c r="G20" s="144" t="s">
        <v>384</v>
      </c>
      <c r="H20" s="186" t="s">
        <v>385</v>
      </c>
      <c r="I20" s="144" t="s">
        <v>386</v>
      </c>
      <c r="J20" s="145" t="s">
        <v>387</v>
      </c>
      <c r="K20" s="20"/>
    </row>
    <row r="21" spans="1:12">
      <c r="A21" s="140"/>
      <c r="B21" s="187"/>
      <c r="C21" s="187"/>
      <c r="D21" s="200"/>
      <c r="E21" s="187"/>
      <c r="F21" s="187"/>
      <c r="G21" s="141"/>
      <c r="H21" s="187"/>
      <c r="I21" s="141"/>
      <c r="J21" s="142"/>
      <c r="K21" s="85" t="s">
        <v>271</v>
      </c>
    </row>
    <row r="22" spans="1:12">
      <c r="A22" s="136"/>
      <c r="B22" s="188"/>
      <c r="C22" s="188"/>
      <c r="D22" s="201"/>
      <c r="E22" s="188"/>
      <c r="F22" s="188"/>
      <c r="G22" s="137"/>
      <c r="H22" s="188"/>
      <c r="I22" s="137"/>
      <c r="J22" s="129"/>
      <c r="K22" s="20"/>
    </row>
    <row r="23" spans="1:12">
      <c r="A23" s="136"/>
      <c r="B23" s="188"/>
      <c r="C23" s="188"/>
      <c r="D23" s="201"/>
      <c r="E23" s="188"/>
      <c r="F23" s="188"/>
      <c r="G23" s="137"/>
      <c r="H23" s="188"/>
      <c r="I23" s="137"/>
      <c r="J23" s="129"/>
      <c r="K23" s="20"/>
    </row>
    <row r="24" spans="1:12">
      <c r="A24" s="136"/>
      <c r="B24" s="188"/>
      <c r="C24" s="188"/>
      <c r="D24" s="201"/>
      <c r="E24" s="188"/>
      <c r="F24" s="188"/>
      <c r="G24" s="137"/>
      <c r="H24" s="188"/>
      <c r="I24" s="137"/>
      <c r="J24" s="129"/>
      <c r="K24" s="20"/>
    </row>
    <row r="25" spans="1:12">
      <c r="A25" s="136"/>
      <c r="B25" s="188"/>
      <c r="C25" s="188"/>
      <c r="D25" s="201"/>
      <c r="E25" s="188"/>
      <c r="F25" s="188"/>
      <c r="G25" s="137"/>
      <c r="H25" s="188"/>
      <c r="I25" s="137"/>
      <c r="J25" s="129"/>
      <c r="K25" s="20"/>
    </row>
    <row r="26" spans="1:12">
      <c r="A26" s="136"/>
      <c r="B26" s="188"/>
      <c r="C26" s="188"/>
      <c r="D26" s="201"/>
      <c r="E26" s="188"/>
      <c r="F26" s="188"/>
      <c r="G26" s="137"/>
      <c r="H26" s="188"/>
      <c r="I26" s="137"/>
      <c r="J26" s="129"/>
      <c r="K26" s="20"/>
    </row>
    <row r="27" spans="1:12">
      <c r="A27" s="136"/>
      <c r="B27" s="188"/>
      <c r="C27" s="188"/>
      <c r="D27" s="201"/>
      <c r="E27" s="188"/>
      <c r="F27" s="188"/>
      <c r="G27" s="137"/>
      <c r="H27" s="188"/>
      <c r="I27" s="137"/>
      <c r="J27" s="129"/>
      <c r="K27" s="20"/>
    </row>
    <row r="28" spans="1:12">
      <c r="A28" s="136"/>
      <c r="B28" s="188"/>
      <c r="C28" s="188"/>
      <c r="D28" s="201"/>
      <c r="E28" s="188"/>
      <c r="F28" s="188"/>
      <c r="G28" s="137"/>
      <c r="H28" s="188"/>
      <c r="I28" s="137"/>
      <c r="J28" s="129"/>
      <c r="K28" s="20"/>
    </row>
    <row r="29" spans="1:12">
      <c r="A29" s="136"/>
      <c r="B29" s="188"/>
      <c r="C29" s="188"/>
      <c r="D29" s="201"/>
      <c r="E29" s="188"/>
      <c r="F29" s="188"/>
      <c r="G29" s="137"/>
      <c r="H29" s="188"/>
      <c r="I29" s="137"/>
      <c r="J29" s="129"/>
      <c r="K29" s="20"/>
    </row>
    <row r="30" spans="1:12">
      <c r="A30" s="136"/>
      <c r="B30" s="188"/>
      <c r="C30" s="188"/>
      <c r="D30" s="201"/>
      <c r="E30" s="188"/>
      <c r="F30" s="188"/>
      <c r="G30" s="137"/>
      <c r="H30" s="188"/>
      <c r="I30" s="137"/>
      <c r="J30" s="129"/>
      <c r="K30" s="20"/>
    </row>
    <row r="31" spans="1:12">
      <c r="A31" s="136"/>
      <c r="B31" s="188"/>
      <c r="C31" s="188"/>
      <c r="D31" s="201"/>
      <c r="E31" s="188"/>
      <c r="F31" s="188"/>
      <c r="G31" s="137"/>
      <c r="H31" s="188"/>
      <c r="I31" s="137"/>
      <c r="J31" s="129"/>
      <c r="K31" s="20"/>
    </row>
    <row r="32" spans="1:12">
      <c r="A32" s="136"/>
      <c r="B32" s="188"/>
      <c r="C32" s="188"/>
      <c r="D32" s="201"/>
      <c r="E32" s="188"/>
      <c r="F32" s="188"/>
      <c r="G32" s="137"/>
      <c r="H32" s="188"/>
      <c r="I32" s="137"/>
      <c r="J32" s="129"/>
      <c r="K32" s="20"/>
    </row>
    <row r="33" spans="1:11">
      <c r="A33" s="136"/>
      <c r="B33" s="188"/>
      <c r="C33" s="188"/>
      <c r="D33" s="201"/>
      <c r="E33" s="188"/>
      <c r="F33" s="188"/>
      <c r="G33" s="137"/>
      <c r="H33" s="188"/>
      <c r="I33" s="137"/>
      <c r="J33" s="129"/>
      <c r="K33" s="20"/>
    </row>
    <row r="34" spans="1:11" ht="16" thickBot="1">
      <c r="A34" s="138"/>
      <c r="B34" s="189"/>
      <c r="C34" s="189"/>
      <c r="D34" s="202"/>
      <c r="E34" s="189"/>
      <c r="F34" s="189"/>
      <c r="G34" s="139"/>
      <c r="H34" s="189"/>
      <c r="I34" s="139"/>
      <c r="J34" s="132"/>
      <c r="K34" s="85" t="s">
        <v>270</v>
      </c>
    </row>
    <row r="35" spans="1:11" ht="16" thickBot="1"/>
    <row r="36" spans="1:11" ht="16" thickBot="1">
      <c r="A36" s="113" t="s">
        <v>49</v>
      </c>
      <c r="B36" s="20"/>
      <c r="C36" s="20"/>
      <c r="D36" s="85" t="s">
        <v>272</v>
      </c>
      <c r="E36" s="85" t="s">
        <v>273</v>
      </c>
      <c r="F36" s="20"/>
      <c r="G36" s="20"/>
    </row>
    <row r="37" spans="1:11" ht="16" thickBot="1">
      <c r="A37" s="114" t="s">
        <v>37</v>
      </c>
      <c r="B37" s="115" t="s">
        <v>36</v>
      </c>
      <c r="C37" s="115" t="s">
        <v>30</v>
      </c>
      <c r="D37" s="115" t="s">
        <v>263</v>
      </c>
      <c r="E37" s="115" t="s">
        <v>264</v>
      </c>
      <c r="F37" s="115" t="s">
        <v>389</v>
      </c>
      <c r="G37" s="190" t="s">
        <v>266</v>
      </c>
    </row>
    <row r="38" spans="1:11">
      <c r="A38" s="59"/>
      <c r="B38" s="147"/>
      <c r="C38" s="147"/>
      <c r="D38" s="147"/>
      <c r="E38" s="147"/>
      <c r="F38" s="147"/>
      <c r="G38" s="191"/>
      <c r="H38" s="85" t="s">
        <v>271</v>
      </c>
    </row>
    <row r="39" spans="1:11">
      <c r="A39" s="53"/>
      <c r="B39" s="57"/>
      <c r="C39" s="57"/>
      <c r="D39" s="57"/>
      <c r="E39" s="57"/>
      <c r="F39" s="57"/>
      <c r="G39" s="192"/>
      <c r="H39" s="85" t="s">
        <v>390</v>
      </c>
    </row>
    <row r="40" spans="1:11">
      <c r="A40" s="53"/>
      <c r="B40" s="57"/>
      <c r="C40" s="57"/>
      <c r="D40" s="57"/>
      <c r="E40" s="57"/>
      <c r="F40" s="57"/>
      <c r="G40" s="192"/>
      <c r="H40" s="1" t="s">
        <v>274</v>
      </c>
    </row>
    <row r="41" spans="1:11">
      <c r="A41" s="70"/>
      <c r="B41" s="29"/>
      <c r="C41" s="29"/>
      <c r="D41" s="29"/>
      <c r="E41" s="29"/>
      <c r="F41" s="29"/>
      <c r="G41" s="192"/>
    </row>
    <row r="42" spans="1:11">
      <c r="A42" s="70"/>
      <c r="B42" s="29"/>
      <c r="C42" s="29"/>
      <c r="D42" s="29"/>
      <c r="E42" s="29"/>
      <c r="F42" s="29"/>
      <c r="G42" s="192"/>
    </row>
    <row r="43" spans="1:11">
      <c r="A43" s="70"/>
      <c r="B43" s="29"/>
      <c r="C43" s="29"/>
      <c r="D43" s="29"/>
      <c r="E43" s="29"/>
      <c r="F43" s="29"/>
      <c r="G43" s="192"/>
    </row>
    <row r="44" spans="1:11">
      <c r="A44" s="70"/>
      <c r="B44" s="29"/>
      <c r="C44" s="29"/>
      <c r="D44" s="29"/>
      <c r="E44" s="29"/>
      <c r="F44" s="29"/>
      <c r="G44" s="192"/>
    </row>
    <row r="45" spans="1:11">
      <c r="A45" s="70"/>
      <c r="B45" s="29"/>
      <c r="C45" s="29"/>
      <c r="D45" s="29"/>
      <c r="E45" s="29"/>
      <c r="F45" s="29"/>
      <c r="G45" s="192"/>
    </row>
    <row r="46" spans="1:11">
      <c r="A46" s="121"/>
      <c r="B46" s="117"/>
      <c r="C46" s="117"/>
      <c r="D46" s="117"/>
      <c r="E46" s="117"/>
      <c r="F46" s="117"/>
      <c r="G46" s="193"/>
    </row>
    <row r="47" spans="1:11" ht="16" thickBot="1">
      <c r="A47" s="122"/>
      <c r="B47" s="123"/>
      <c r="C47" s="123"/>
      <c r="D47" s="123"/>
      <c r="E47" s="123"/>
      <c r="F47" s="123"/>
      <c r="G47" s="194"/>
      <c r="H47" s="85" t="s">
        <v>270</v>
      </c>
    </row>
    <row r="49" spans="1:12" ht="16" thickBot="1">
      <c r="K49" s="20"/>
      <c r="L49" s="20"/>
    </row>
    <row r="50" spans="1:12" ht="16" thickBot="1">
      <c r="A50" s="118" t="s">
        <v>391</v>
      </c>
      <c r="B50" s="20"/>
      <c r="C50" s="20"/>
      <c r="D50" s="20"/>
      <c r="E50" s="20"/>
      <c r="F50" s="20"/>
      <c r="G50" s="20"/>
      <c r="H50" s="20"/>
      <c r="I50" s="20"/>
      <c r="J50" s="20"/>
    </row>
    <row r="51" spans="1:12" ht="16" thickBot="1">
      <c r="A51" s="153" t="s">
        <v>380</v>
      </c>
      <c r="B51" s="195" t="s">
        <v>381</v>
      </c>
      <c r="C51" s="195" t="s">
        <v>382</v>
      </c>
      <c r="D51" s="154" t="s">
        <v>37</v>
      </c>
      <c r="E51" s="195" t="s">
        <v>38</v>
      </c>
      <c r="F51" s="195" t="s">
        <v>383</v>
      </c>
      <c r="G51" s="154" t="s">
        <v>384</v>
      </c>
      <c r="H51" s="195" t="s">
        <v>385</v>
      </c>
      <c r="I51" s="154" t="s">
        <v>386</v>
      </c>
      <c r="J51" s="155" t="s">
        <v>387</v>
      </c>
      <c r="K51" s="20"/>
    </row>
    <row r="52" spans="1:12">
      <c r="A52" s="134"/>
      <c r="B52" s="196"/>
      <c r="C52" s="196"/>
      <c r="D52" s="151"/>
      <c r="E52" s="196"/>
      <c r="F52" s="196"/>
      <c r="G52" s="151"/>
      <c r="H52" s="196"/>
      <c r="I52" s="151"/>
      <c r="J52" s="152"/>
      <c r="K52" s="85" t="s">
        <v>271</v>
      </c>
    </row>
    <row r="53" spans="1:12">
      <c r="A53" s="148"/>
      <c r="B53" s="197"/>
      <c r="C53" s="197"/>
      <c r="D53" s="137"/>
      <c r="E53" s="197"/>
      <c r="F53" s="197"/>
      <c r="G53" s="137"/>
      <c r="H53" s="197"/>
      <c r="I53" s="137"/>
      <c r="J53" s="150"/>
      <c r="K53" s="20"/>
    </row>
    <row r="54" spans="1:12">
      <c r="A54" s="136"/>
      <c r="B54" s="197"/>
      <c r="C54" s="197"/>
      <c r="D54" s="137"/>
      <c r="E54" s="197"/>
      <c r="F54" s="197"/>
      <c r="G54" s="137"/>
      <c r="H54" s="197"/>
      <c r="I54" s="137"/>
      <c r="J54" s="150"/>
      <c r="K54" s="20"/>
    </row>
    <row r="55" spans="1:12">
      <c r="A55" s="136"/>
      <c r="B55" s="197"/>
      <c r="C55" s="197"/>
      <c r="D55" s="137"/>
      <c r="E55" s="197"/>
      <c r="F55" s="197"/>
      <c r="G55" s="137"/>
      <c r="H55" s="197"/>
      <c r="I55" s="137"/>
      <c r="J55" s="150"/>
      <c r="K55" s="20"/>
    </row>
    <row r="56" spans="1:12">
      <c r="A56" s="136"/>
      <c r="B56" s="197"/>
      <c r="C56" s="197"/>
      <c r="D56" s="137"/>
      <c r="E56" s="197"/>
      <c r="F56" s="197"/>
      <c r="G56" s="137"/>
      <c r="H56" s="197"/>
      <c r="I56" s="137"/>
      <c r="J56" s="150"/>
      <c r="K56" s="20"/>
    </row>
    <row r="57" spans="1:12">
      <c r="A57" s="136"/>
      <c r="B57" s="197"/>
      <c r="C57" s="197"/>
      <c r="D57" s="137"/>
      <c r="E57" s="197"/>
      <c r="F57" s="197"/>
      <c r="G57" s="137"/>
      <c r="H57" s="197"/>
      <c r="I57" s="137"/>
      <c r="J57" s="150"/>
      <c r="K57" s="20"/>
    </row>
    <row r="58" spans="1:12">
      <c r="A58" s="136"/>
      <c r="B58" s="197"/>
      <c r="C58" s="197"/>
      <c r="D58" s="137"/>
      <c r="E58" s="197"/>
      <c r="F58" s="197"/>
      <c r="G58" s="137"/>
      <c r="H58" s="197"/>
      <c r="I58" s="137"/>
      <c r="J58" s="150"/>
      <c r="K58" s="20"/>
    </row>
    <row r="59" spans="1:12" ht="16" thickBot="1">
      <c r="A59" s="138"/>
      <c r="B59" s="198"/>
      <c r="C59" s="198"/>
      <c r="D59" s="139"/>
      <c r="E59" s="198"/>
      <c r="F59" s="198"/>
      <c r="G59" s="139"/>
      <c r="H59" s="198"/>
      <c r="I59" s="139"/>
      <c r="J59" s="112"/>
      <c r="K59" s="85" t="s">
        <v>270</v>
      </c>
    </row>
    <row r="60" spans="1:12" ht="16" thickBot="1"/>
    <row r="61" spans="1:12" ht="16" thickBot="1">
      <c r="A61" s="118" t="s">
        <v>267</v>
      </c>
      <c r="B61" s="20"/>
      <c r="C61" s="20"/>
    </row>
    <row r="62" spans="1:12" ht="16" thickBot="1">
      <c r="A62" s="105" t="s">
        <v>268</v>
      </c>
      <c r="B62" s="119" t="s">
        <v>269</v>
      </c>
      <c r="C62" s="120" t="s">
        <v>265</v>
      </c>
    </row>
    <row r="63" spans="1:12">
      <c r="A63" s="134"/>
      <c r="B63" s="135"/>
      <c r="C63" s="126"/>
      <c r="D63" s="85" t="s">
        <v>271</v>
      </c>
    </row>
    <row r="64" spans="1:12">
      <c r="A64" s="148"/>
      <c r="B64" s="149"/>
      <c r="C64" s="129"/>
    </row>
    <row r="65" spans="1:4">
      <c r="A65" s="148"/>
      <c r="B65" s="149"/>
      <c r="C65" s="129"/>
      <c r="D65" s="1" t="s">
        <v>274</v>
      </c>
    </row>
    <row r="66" spans="1:4">
      <c r="A66" s="136"/>
      <c r="B66" s="137"/>
      <c r="C66" s="150"/>
    </row>
    <row r="67" spans="1:4">
      <c r="A67" s="136"/>
      <c r="B67" s="137"/>
      <c r="C67" s="150"/>
    </row>
    <row r="68" spans="1:4">
      <c r="A68" s="136"/>
      <c r="B68" s="137"/>
      <c r="C68" s="150"/>
    </row>
    <row r="69" spans="1:4">
      <c r="A69" s="136"/>
      <c r="B69" s="137"/>
      <c r="C69" s="150"/>
    </row>
    <row r="70" spans="1:4">
      <c r="A70" s="136"/>
      <c r="B70" s="137"/>
      <c r="C70" s="150"/>
    </row>
    <row r="71" spans="1:4">
      <c r="A71" s="136"/>
      <c r="B71" s="137"/>
      <c r="C71" s="150"/>
    </row>
    <row r="72" spans="1:4" ht="16" thickBot="1">
      <c r="A72" s="138"/>
      <c r="B72" s="139"/>
      <c r="C72" s="112"/>
      <c r="D72" s="85" t="s">
        <v>270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/>
  <dimension ref="A1:H110"/>
  <sheetViews>
    <sheetView workbookViewId="0">
      <selection activeCell="B2" sqref="B2"/>
    </sheetView>
  </sheetViews>
  <sheetFormatPr baseColWidth="10" defaultRowHeight="15" x14ac:dyDescent="0"/>
  <cols>
    <col min="1" max="1" width="32.83203125" customWidth="1"/>
    <col min="2" max="2" width="15.5" customWidth="1"/>
    <col min="3" max="3" width="23.1640625" bestFit="1" customWidth="1"/>
    <col min="4" max="4" width="30" bestFit="1" customWidth="1"/>
    <col min="7" max="7" width="29.5" bestFit="1" customWidth="1"/>
  </cols>
  <sheetData>
    <row r="1" spans="1:8">
      <c r="A1" s="97" t="s">
        <v>193</v>
      </c>
      <c r="B1" s="98"/>
      <c r="C1" s="20"/>
      <c r="D1" s="20"/>
      <c r="E1" s="20"/>
      <c r="F1" s="20"/>
      <c r="G1" s="20"/>
      <c r="H1" s="20"/>
    </row>
    <row r="2" spans="1:8">
      <c r="A2" s="81" t="s">
        <v>241</v>
      </c>
      <c r="B2" s="99"/>
      <c r="C2" s="91" t="s">
        <v>226</v>
      </c>
      <c r="D2" s="20" t="s">
        <v>227</v>
      </c>
      <c r="E2" s="20"/>
      <c r="F2" s="20"/>
      <c r="G2" s="20"/>
      <c r="H2" s="20"/>
    </row>
    <row r="3" spans="1:8">
      <c r="A3" s="81" t="s">
        <v>419</v>
      </c>
      <c r="B3" s="99"/>
      <c r="C3" s="100" t="s">
        <v>225</v>
      </c>
      <c r="D3" s="100" t="s">
        <v>227</v>
      </c>
      <c r="E3" s="20"/>
      <c r="F3" s="20"/>
      <c r="G3" s="20"/>
      <c r="H3" s="20"/>
    </row>
    <row r="4" spans="1:8">
      <c r="A4" s="81" t="s">
        <v>242</v>
      </c>
      <c r="B4" s="99"/>
      <c r="C4" s="91" t="s">
        <v>226</v>
      </c>
      <c r="D4" s="20" t="s">
        <v>227</v>
      </c>
      <c r="E4" s="20"/>
      <c r="F4" s="20"/>
      <c r="G4" s="20"/>
      <c r="H4" s="20"/>
    </row>
    <row r="5" spans="1:8">
      <c r="A5" s="81" t="s">
        <v>243</v>
      </c>
      <c r="B5" s="99"/>
      <c r="C5" s="100" t="s">
        <v>225</v>
      </c>
      <c r="D5" s="100" t="s">
        <v>227</v>
      </c>
      <c r="E5" s="20"/>
      <c r="F5" s="20"/>
      <c r="G5" s="20"/>
      <c r="H5" s="20"/>
    </row>
    <row r="6" spans="1:8">
      <c r="A6" s="81" t="s">
        <v>351</v>
      </c>
      <c r="B6" s="99"/>
      <c r="C6" s="100" t="s">
        <v>225</v>
      </c>
      <c r="D6" s="100" t="s">
        <v>227</v>
      </c>
      <c r="E6" s="20"/>
      <c r="F6" s="20"/>
      <c r="G6" s="20"/>
      <c r="H6" s="20"/>
    </row>
    <row r="7" spans="1:8">
      <c r="A7" s="178" t="s">
        <v>244</v>
      </c>
      <c r="B7" s="179"/>
      <c r="C7" s="133" t="s">
        <v>408</v>
      </c>
      <c r="D7" s="100" t="s">
        <v>227</v>
      </c>
      <c r="E7" s="20"/>
      <c r="F7" s="20"/>
      <c r="G7" s="20"/>
    </row>
    <row r="8" spans="1:8" ht="16" thickBot="1">
      <c r="A8" s="180" t="s">
        <v>395</v>
      </c>
      <c r="B8" s="181"/>
      <c r="C8" s="133" t="s">
        <v>409</v>
      </c>
      <c r="D8" s="20"/>
      <c r="E8" s="20"/>
      <c r="F8" s="20"/>
      <c r="G8" s="20"/>
      <c r="H8" s="20"/>
    </row>
    <row r="9" spans="1:8">
      <c r="A9" s="20"/>
      <c r="B9" s="20"/>
      <c r="C9" s="20"/>
      <c r="E9" s="38"/>
      <c r="F9" s="38"/>
      <c r="G9" s="38"/>
      <c r="H9" s="38"/>
    </row>
    <row r="10" spans="1:8">
      <c r="A10" s="38" t="s">
        <v>245</v>
      </c>
      <c r="B10" s="20"/>
      <c r="C10" s="20"/>
      <c r="D10" s="100" t="s">
        <v>392</v>
      </c>
      <c r="E10" s="20"/>
      <c r="F10" s="20"/>
      <c r="G10" s="20"/>
      <c r="H10" s="20"/>
    </row>
    <row r="11" spans="1:8" ht="16" thickBot="1">
      <c r="A11" s="20"/>
      <c r="B11" s="20"/>
      <c r="C11" s="20"/>
      <c r="F11" s="20"/>
      <c r="G11" s="85" t="s">
        <v>349</v>
      </c>
      <c r="H11" s="85" t="s">
        <v>350</v>
      </c>
    </row>
    <row r="12" spans="1:8">
      <c r="A12" s="266" t="s">
        <v>246</v>
      </c>
      <c r="B12" s="267"/>
      <c r="C12" s="20"/>
      <c r="D12" s="209" t="s">
        <v>369</v>
      </c>
      <c r="E12" s="208"/>
      <c r="F12" s="20"/>
      <c r="G12" s="85"/>
      <c r="H12" s="85"/>
    </row>
    <row r="13" spans="1:8">
      <c r="A13" s="101" t="s">
        <v>247</v>
      </c>
      <c r="B13" s="102"/>
      <c r="C13" s="176" t="s">
        <v>225</v>
      </c>
      <c r="D13" s="148" t="s">
        <v>370</v>
      </c>
      <c r="E13" s="150"/>
      <c r="F13" s="20"/>
      <c r="G13" s="85" t="s">
        <v>335</v>
      </c>
      <c r="H13" s="85" t="s">
        <v>336</v>
      </c>
    </row>
    <row r="14" spans="1:8">
      <c r="A14" s="103" t="s">
        <v>355</v>
      </c>
      <c r="B14" s="102"/>
      <c r="C14" s="91" t="s">
        <v>226</v>
      </c>
      <c r="D14" s="148" t="s">
        <v>371</v>
      </c>
      <c r="E14" s="150"/>
      <c r="F14" s="20"/>
      <c r="G14" s="85" t="s">
        <v>337</v>
      </c>
      <c r="H14" s="85" t="s">
        <v>338</v>
      </c>
    </row>
    <row r="15" spans="1:8">
      <c r="A15" s="103" t="s">
        <v>258</v>
      </c>
      <c r="B15" s="102"/>
      <c r="C15" s="91" t="s">
        <v>226</v>
      </c>
      <c r="D15" s="148" t="s">
        <v>372</v>
      </c>
      <c r="E15" s="150"/>
      <c r="F15" s="20"/>
      <c r="G15" s="85" t="s">
        <v>374</v>
      </c>
      <c r="H15" s="85" t="s">
        <v>375</v>
      </c>
    </row>
    <row r="16" spans="1:8" ht="16" thickBot="1">
      <c r="A16" s="103" t="s">
        <v>376</v>
      </c>
      <c r="B16" s="104"/>
      <c r="C16" s="91" t="s">
        <v>226</v>
      </c>
      <c r="D16" s="111" t="s">
        <v>373</v>
      </c>
      <c r="E16" s="150"/>
      <c r="F16" s="20"/>
      <c r="G16" s="85" t="s">
        <v>339</v>
      </c>
      <c r="H16" s="85" t="s">
        <v>340</v>
      </c>
    </row>
    <row r="17" spans="1:8">
      <c r="A17" s="101" t="s">
        <v>248</v>
      </c>
      <c r="B17" s="104"/>
      <c r="C17" s="176" t="s">
        <v>225</v>
      </c>
      <c r="F17" s="20"/>
      <c r="G17" s="85" t="s">
        <v>341</v>
      </c>
      <c r="H17" s="85" t="s">
        <v>342</v>
      </c>
    </row>
    <row r="18" spans="1:8">
      <c r="A18" s="103" t="s">
        <v>357</v>
      </c>
      <c r="B18" s="102"/>
      <c r="C18" s="91" t="s">
        <v>226</v>
      </c>
      <c r="F18" s="20"/>
      <c r="G18" s="85" t="s">
        <v>343</v>
      </c>
      <c r="H18" s="85" t="s">
        <v>344</v>
      </c>
    </row>
    <row r="19" spans="1:8" ht="16" thickBot="1">
      <c r="A19" s="107" t="s">
        <v>249</v>
      </c>
      <c r="B19" s="106"/>
      <c r="C19" s="91" t="s">
        <v>226</v>
      </c>
      <c r="F19" s="20"/>
      <c r="G19" s="85" t="s">
        <v>345</v>
      </c>
      <c r="H19" s="85" t="s">
        <v>346</v>
      </c>
    </row>
    <row r="20" spans="1:8" ht="16" thickBot="1">
      <c r="A20" s="20"/>
      <c r="B20" s="212"/>
      <c r="C20" s="91"/>
      <c r="F20" s="20"/>
      <c r="G20" s="85"/>
      <c r="H20" s="85"/>
    </row>
    <row r="21" spans="1:8" ht="16" thickBot="1">
      <c r="A21" s="20"/>
      <c r="B21" s="20"/>
      <c r="C21" s="91"/>
      <c r="F21" s="20"/>
      <c r="G21" s="85"/>
      <c r="H21" s="85"/>
    </row>
    <row r="22" spans="1:8">
      <c r="A22" s="266" t="s">
        <v>250</v>
      </c>
      <c r="B22" s="267"/>
      <c r="C22" s="20"/>
      <c r="D22" s="209" t="s">
        <v>369</v>
      </c>
      <c r="E22" s="208"/>
      <c r="F22" s="20"/>
      <c r="G22" s="85"/>
      <c r="H22" s="85"/>
    </row>
    <row r="23" spans="1:8">
      <c r="A23" s="101" t="s">
        <v>247</v>
      </c>
      <c r="B23" s="102"/>
      <c r="C23" s="176" t="s">
        <v>225</v>
      </c>
      <c r="D23" s="148" t="s">
        <v>370</v>
      </c>
      <c r="E23" s="150"/>
      <c r="F23" s="20"/>
      <c r="G23" s="85" t="s">
        <v>335</v>
      </c>
      <c r="H23" s="85" t="s">
        <v>336</v>
      </c>
    </row>
    <row r="24" spans="1:8">
      <c r="A24" s="103" t="s">
        <v>355</v>
      </c>
      <c r="B24" s="102"/>
      <c r="C24" s="91" t="s">
        <v>356</v>
      </c>
      <c r="D24" s="148" t="s">
        <v>371</v>
      </c>
      <c r="E24" s="150"/>
      <c r="F24" s="20"/>
      <c r="G24" s="85" t="s">
        <v>337</v>
      </c>
      <c r="H24" s="85" t="s">
        <v>338</v>
      </c>
    </row>
    <row r="25" spans="1:8">
      <c r="A25" s="103" t="s">
        <v>258</v>
      </c>
      <c r="B25" s="102"/>
      <c r="C25" s="91" t="s">
        <v>226</v>
      </c>
      <c r="D25" s="148" t="s">
        <v>372</v>
      </c>
      <c r="E25" s="150"/>
      <c r="F25" s="20"/>
      <c r="G25" s="85" t="s">
        <v>374</v>
      </c>
      <c r="H25" s="85" t="s">
        <v>375</v>
      </c>
    </row>
    <row r="26" spans="1:8" ht="16" thickBot="1">
      <c r="A26" s="103" t="s">
        <v>376</v>
      </c>
      <c r="B26" s="104"/>
      <c r="C26" s="91" t="s">
        <v>226</v>
      </c>
      <c r="D26" s="111" t="s">
        <v>373</v>
      </c>
      <c r="E26" s="150"/>
      <c r="F26" s="20"/>
      <c r="G26" s="85" t="s">
        <v>339</v>
      </c>
      <c r="H26" s="85" t="s">
        <v>340</v>
      </c>
    </row>
    <row r="27" spans="1:8">
      <c r="A27" s="101" t="s">
        <v>248</v>
      </c>
      <c r="B27" s="104"/>
      <c r="C27" s="176" t="s">
        <v>225</v>
      </c>
      <c r="F27" s="20"/>
      <c r="G27" s="85" t="s">
        <v>341</v>
      </c>
      <c r="H27" s="85" t="s">
        <v>342</v>
      </c>
    </row>
    <row r="28" spans="1:8">
      <c r="A28" s="103" t="s">
        <v>357</v>
      </c>
      <c r="B28" s="102"/>
      <c r="C28" s="91" t="s">
        <v>226</v>
      </c>
      <c r="F28" s="20"/>
      <c r="G28" s="85" t="s">
        <v>343</v>
      </c>
      <c r="H28" s="85" t="s">
        <v>344</v>
      </c>
    </row>
    <row r="29" spans="1:8">
      <c r="A29" s="103" t="s">
        <v>249</v>
      </c>
      <c r="B29" s="104"/>
      <c r="C29" s="91" t="s">
        <v>226</v>
      </c>
      <c r="F29" s="20"/>
      <c r="G29" s="85" t="s">
        <v>345</v>
      </c>
      <c r="H29" s="85" t="s">
        <v>346</v>
      </c>
    </row>
    <row r="30" spans="1:8" ht="16" thickBot="1">
      <c r="A30" s="105" t="s">
        <v>358</v>
      </c>
      <c r="B30" s="106"/>
      <c r="C30" s="91" t="s">
        <v>226</v>
      </c>
      <c r="F30" s="20"/>
      <c r="G30" s="85" t="s">
        <v>347</v>
      </c>
      <c r="H30" s="85" t="s">
        <v>348</v>
      </c>
    </row>
    <row r="31" spans="1:8" ht="16" thickBot="1">
      <c r="A31" s="20"/>
      <c r="B31" s="212"/>
      <c r="C31" s="20"/>
      <c r="F31" s="20"/>
      <c r="G31" s="85"/>
      <c r="H31" s="85"/>
    </row>
    <row r="32" spans="1:8" ht="16" thickBot="1">
      <c r="A32" s="20"/>
      <c r="B32" s="20"/>
      <c r="C32" s="20"/>
      <c r="F32" s="20"/>
      <c r="G32" s="85"/>
      <c r="H32" s="85"/>
    </row>
    <row r="33" spans="1:8">
      <c r="A33" s="266" t="s">
        <v>251</v>
      </c>
      <c r="B33" s="267"/>
      <c r="D33" s="209" t="s">
        <v>369</v>
      </c>
      <c r="E33" s="208"/>
      <c r="F33" s="20"/>
      <c r="G33" s="85"/>
      <c r="H33" s="85"/>
    </row>
    <row r="34" spans="1:8">
      <c r="A34" s="101" t="s">
        <v>247</v>
      </c>
      <c r="B34" s="102"/>
      <c r="C34" s="176" t="s">
        <v>225</v>
      </c>
      <c r="D34" s="148" t="s">
        <v>370</v>
      </c>
      <c r="E34" s="150"/>
      <c r="F34" s="20"/>
      <c r="G34" s="85" t="s">
        <v>335</v>
      </c>
      <c r="H34" s="85" t="s">
        <v>336</v>
      </c>
    </row>
    <row r="35" spans="1:8">
      <c r="A35" s="103" t="s">
        <v>355</v>
      </c>
      <c r="B35" s="102"/>
      <c r="C35" s="91" t="s">
        <v>226</v>
      </c>
      <c r="D35" s="148" t="s">
        <v>371</v>
      </c>
      <c r="E35" s="150"/>
      <c r="F35" s="20"/>
      <c r="G35" s="85"/>
      <c r="H35" s="85"/>
    </row>
    <row r="36" spans="1:8">
      <c r="A36" s="103" t="s">
        <v>258</v>
      </c>
      <c r="B36" s="102"/>
      <c r="C36" s="91" t="s">
        <v>226</v>
      </c>
      <c r="D36" s="148" t="s">
        <v>372</v>
      </c>
      <c r="E36" s="150"/>
      <c r="F36" s="20"/>
      <c r="G36" s="85" t="s">
        <v>374</v>
      </c>
      <c r="H36" s="85" t="s">
        <v>375</v>
      </c>
    </row>
    <row r="37" spans="1:8" ht="16" thickBot="1">
      <c r="A37" s="103" t="s">
        <v>376</v>
      </c>
      <c r="B37" s="104"/>
      <c r="C37" s="91" t="s">
        <v>226</v>
      </c>
      <c r="D37" s="111" t="s">
        <v>373</v>
      </c>
      <c r="E37" s="150"/>
      <c r="F37" s="20"/>
      <c r="G37" s="85" t="s">
        <v>339</v>
      </c>
      <c r="H37" s="85" t="s">
        <v>340</v>
      </c>
    </row>
    <row r="38" spans="1:8">
      <c r="A38" s="101" t="s">
        <v>248</v>
      </c>
      <c r="B38" s="104"/>
      <c r="C38" s="176" t="s">
        <v>225</v>
      </c>
      <c r="F38" s="20"/>
      <c r="G38" s="85" t="s">
        <v>341</v>
      </c>
      <c r="H38" s="85" t="s">
        <v>342</v>
      </c>
    </row>
    <row r="39" spans="1:8">
      <c r="A39" s="103" t="s">
        <v>357</v>
      </c>
      <c r="B39" s="102"/>
      <c r="C39" s="91" t="s">
        <v>226</v>
      </c>
      <c r="F39" s="20"/>
      <c r="G39" s="85" t="s">
        <v>343</v>
      </c>
      <c r="H39" s="85" t="s">
        <v>344</v>
      </c>
    </row>
    <row r="40" spans="1:8">
      <c r="A40" s="103" t="s">
        <v>249</v>
      </c>
      <c r="B40" s="104"/>
      <c r="C40" s="91" t="s">
        <v>226</v>
      </c>
      <c r="F40" s="20"/>
      <c r="G40" s="85" t="s">
        <v>345</v>
      </c>
      <c r="H40" s="85" t="s">
        <v>346</v>
      </c>
    </row>
    <row r="41" spans="1:8">
      <c r="A41" s="165" t="s">
        <v>367</v>
      </c>
      <c r="B41" s="110"/>
      <c r="C41" s="91" t="s">
        <v>226</v>
      </c>
      <c r="F41" s="20"/>
      <c r="G41" s="85"/>
      <c r="H41" s="85"/>
    </row>
    <row r="42" spans="1:8" ht="16" thickBot="1">
      <c r="A42" s="206" t="s">
        <v>368</v>
      </c>
      <c r="B42" s="207"/>
      <c r="C42" s="91" t="s">
        <v>226</v>
      </c>
      <c r="F42" s="20"/>
      <c r="G42" s="85"/>
      <c r="H42" s="85"/>
    </row>
    <row r="43" spans="1:8" ht="16" thickBot="1">
      <c r="A43" s="20"/>
      <c r="B43" s="212"/>
      <c r="C43" s="20"/>
      <c r="F43" s="20"/>
      <c r="G43" s="85"/>
      <c r="H43" s="85"/>
    </row>
    <row r="44" spans="1:8">
      <c r="A44" s="20"/>
      <c r="B44" s="20"/>
      <c r="C44" s="20"/>
      <c r="F44" s="20"/>
      <c r="G44" s="85"/>
      <c r="H44" s="85"/>
    </row>
    <row r="45" spans="1:8" hidden="1">
      <c r="A45" s="266" t="s">
        <v>252</v>
      </c>
      <c r="B45" s="267"/>
      <c r="C45" s="20"/>
      <c r="D45" s="209" t="s">
        <v>369</v>
      </c>
      <c r="E45" s="208"/>
      <c r="F45" s="20"/>
      <c r="G45" s="85"/>
      <c r="H45" s="85"/>
    </row>
    <row r="46" spans="1:8" hidden="1">
      <c r="A46" s="101" t="s">
        <v>247</v>
      </c>
      <c r="B46" s="102"/>
      <c r="C46" s="176" t="s">
        <v>225</v>
      </c>
      <c r="D46" s="148" t="s">
        <v>370</v>
      </c>
      <c r="E46" s="150"/>
      <c r="F46" s="20"/>
      <c r="G46" s="85" t="s">
        <v>335</v>
      </c>
      <c r="H46" s="85" t="s">
        <v>336</v>
      </c>
    </row>
    <row r="47" spans="1:8" hidden="1">
      <c r="A47" s="103" t="s">
        <v>355</v>
      </c>
      <c r="B47" s="102"/>
      <c r="C47" s="91" t="s">
        <v>226</v>
      </c>
      <c r="D47" s="148" t="s">
        <v>371</v>
      </c>
      <c r="E47" s="150"/>
      <c r="F47" s="20"/>
      <c r="G47" s="85"/>
      <c r="H47" s="85"/>
    </row>
    <row r="48" spans="1:8" hidden="1">
      <c r="A48" s="103" t="s">
        <v>258</v>
      </c>
      <c r="B48" s="102"/>
      <c r="C48" s="91" t="s">
        <v>226</v>
      </c>
      <c r="D48" s="148" t="s">
        <v>372</v>
      </c>
      <c r="E48" s="150"/>
      <c r="F48" s="20"/>
      <c r="G48" s="85" t="s">
        <v>374</v>
      </c>
      <c r="H48" s="85" t="s">
        <v>375</v>
      </c>
    </row>
    <row r="49" spans="1:8" ht="16" hidden="1" thickBot="1">
      <c r="A49" s="103" t="s">
        <v>376</v>
      </c>
      <c r="B49" s="104"/>
      <c r="C49" s="91" t="s">
        <v>226</v>
      </c>
      <c r="D49" s="111" t="s">
        <v>373</v>
      </c>
      <c r="E49" s="150"/>
      <c r="F49" s="20"/>
      <c r="G49" s="85" t="s">
        <v>339</v>
      </c>
      <c r="H49" s="85" t="s">
        <v>340</v>
      </c>
    </row>
    <row r="50" spans="1:8" hidden="1">
      <c r="A50" s="101" t="s">
        <v>248</v>
      </c>
      <c r="B50" s="104"/>
      <c r="C50" s="176" t="s">
        <v>225</v>
      </c>
      <c r="F50" s="20"/>
      <c r="G50" s="85" t="s">
        <v>341</v>
      </c>
      <c r="H50" s="85" t="s">
        <v>342</v>
      </c>
    </row>
    <row r="51" spans="1:8" hidden="1">
      <c r="A51" s="103" t="s">
        <v>357</v>
      </c>
      <c r="B51" s="102"/>
      <c r="C51" s="91" t="s">
        <v>226</v>
      </c>
      <c r="F51" s="20"/>
      <c r="G51" s="85"/>
      <c r="H51" s="85"/>
    </row>
    <row r="52" spans="1:8" hidden="1">
      <c r="A52" s="103" t="s">
        <v>249</v>
      </c>
      <c r="B52" s="104"/>
      <c r="C52" s="91" t="s">
        <v>226</v>
      </c>
      <c r="F52" s="20"/>
      <c r="G52" s="85" t="s">
        <v>345</v>
      </c>
      <c r="H52" s="85" t="s">
        <v>346</v>
      </c>
    </row>
    <row r="53" spans="1:8" ht="16" hidden="1" thickBot="1">
      <c r="A53" s="105" t="s">
        <v>293</v>
      </c>
      <c r="B53" s="106"/>
      <c r="C53" s="91" t="s">
        <v>226</v>
      </c>
      <c r="F53" s="20"/>
      <c r="G53" s="85"/>
      <c r="H53" s="85"/>
    </row>
    <row r="54" spans="1:8" ht="16" hidden="1" thickBot="1">
      <c r="A54" s="20"/>
      <c r="B54" s="212"/>
      <c r="C54" s="20"/>
      <c r="F54" s="20"/>
      <c r="G54" s="85"/>
      <c r="H54" s="85"/>
    </row>
    <row r="55" spans="1:8" hidden="1">
      <c r="A55" s="20"/>
      <c r="B55" s="20"/>
      <c r="C55" s="20"/>
      <c r="F55" s="20"/>
      <c r="G55" s="85"/>
      <c r="H55" s="85"/>
    </row>
    <row r="56" spans="1:8" hidden="1">
      <c r="A56" s="266" t="s">
        <v>253</v>
      </c>
      <c r="B56" s="267"/>
      <c r="C56" s="20"/>
      <c r="D56" s="209" t="s">
        <v>369</v>
      </c>
      <c r="E56" s="208"/>
      <c r="F56" s="20"/>
      <c r="G56" s="85"/>
      <c r="H56" s="85"/>
    </row>
    <row r="57" spans="1:8" hidden="1">
      <c r="A57" s="101" t="s">
        <v>247</v>
      </c>
      <c r="B57" s="102"/>
      <c r="C57" s="176" t="s">
        <v>225</v>
      </c>
      <c r="D57" s="148" t="s">
        <v>370</v>
      </c>
      <c r="E57" s="150"/>
      <c r="F57" s="20"/>
      <c r="G57" s="85" t="s">
        <v>335</v>
      </c>
      <c r="H57" s="85" t="s">
        <v>336</v>
      </c>
    </row>
    <row r="58" spans="1:8" hidden="1">
      <c r="A58" s="103" t="s">
        <v>355</v>
      </c>
      <c r="B58" s="102"/>
      <c r="C58" s="108" t="s">
        <v>226</v>
      </c>
      <c r="D58" s="148" t="s">
        <v>371</v>
      </c>
      <c r="E58" s="150"/>
      <c r="F58" s="20"/>
      <c r="G58" s="85"/>
      <c r="H58" s="85"/>
    </row>
    <row r="59" spans="1:8" hidden="1">
      <c r="A59" s="103" t="s">
        <v>254</v>
      </c>
      <c r="B59" s="104"/>
      <c r="C59" s="91" t="s">
        <v>226</v>
      </c>
      <c r="D59" s="148" t="s">
        <v>372</v>
      </c>
      <c r="E59" s="150"/>
      <c r="F59" s="20"/>
      <c r="G59" s="85"/>
      <c r="H59" s="85"/>
    </row>
    <row r="60" spans="1:8" ht="16" hidden="1" thickBot="1">
      <c r="A60" s="165" t="s">
        <v>255</v>
      </c>
      <c r="B60" s="110"/>
      <c r="C60" s="91" t="s">
        <v>226</v>
      </c>
      <c r="D60" s="111" t="s">
        <v>373</v>
      </c>
      <c r="E60" s="112"/>
      <c r="F60" s="20"/>
      <c r="G60" s="85"/>
      <c r="H60" s="85"/>
    </row>
    <row r="61" spans="1:8" hidden="1">
      <c r="A61" s="103" t="s">
        <v>376</v>
      </c>
      <c r="B61" s="104"/>
      <c r="C61" s="91" t="s">
        <v>226</v>
      </c>
      <c r="F61" s="20"/>
      <c r="G61" s="85" t="s">
        <v>339</v>
      </c>
      <c r="H61" s="85" t="s">
        <v>340</v>
      </c>
    </row>
    <row r="62" spans="1:8" hidden="1">
      <c r="A62" s="165" t="s">
        <v>294</v>
      </c>
      <c r="B62" s="110"/>
      <c r="C62" s="91" t="s">
        <v>226</v>
      </c>
      <c r="F62" s="20"/>
      <c r="G62" s="85"/>
      <c r="H62" s="85"/>
    </row>
    <row r="63" spans="1:8" hidden="1">
      <c r="A63" s="165" t="s">
        <v>295</v>
      </c>
      <c r="B63" s="110"/>
      <c r="C63" s="91" t="s">
        <v>226</v>
      </c>
      <c r="F63" s="20"/>
      <c r="G63" s="85"/>
      <c r="H63" s="85"/>
    </row>
    <row r="64" spans="1:8" hidden="1">
      <c r="A64" s="109" t="s">
        <v>248</v>
      </c>
      <c r="B64" s="110"/>
      <c r="C64" s="176" t="s">
        <v>225</v>
      </c>
      <c r="F64" s="20"/>
      <c r="G64" s="85" t="s">
        <v>341</v>
      </c>
      <c r="H64" s="85" t="s">
        <v>342</v>
      </c>
    </row>
    <row r="65" spans="1:8" hidden="1">
      <c r="A65" s="103" t="s">
        <v>357</v>
      </c>
      <c r="B65" s="102"/>
      <c r="C65" s="91" t="s">
        <v>226</v>
      </c>
      <c r="F65" s="20"/>
      <c r="G65" s="85" t="s">
        <v>343</v>
      </c>
      <c r="H65" s="85" t="s">
        <v>344</v>
      </c>
    </row>
    <row r="66" spans="1:8" ht="16" hidden="1" thickBot="1">
      <c r="A66" s="107" t="s">
        <v>256</v>
      </c>
      <c r="B66" s="106"/>
      <c r="C66" s="91" t="s">
        <v>226</v>
      </c>
      <c r="F66" s="20"/>
      <c r="G66" s="85" t="s">
        <v>345</v>
      </c>
      <c r="H66" s="85" t="s">
        <v>346</v>
      </c>
    </row>
    <row r="67" spans="1:8" ht="16" hidden="1" thickBot="1">
      <c r="A67" s="20"/>
      <c r="B67" s="20"/>
      <c r="C67" s="20"/>
      <c r="F67" s="20"/>
      <c r="G67" s="85"/>
      <c r="H67" s="85"/>
    </row>
    <row r="68" spans="1:8" hidden="1">
      <c r="A68" s="266" t="s">
        <v>257</v>
      </c>
      <c r="B68" s="267"/>
      <c r="C68" s="20"/>
      <c r="D68" s="209" t="s">
        <v>369</v>
      </c>
      <c r="E68" s="208"/>
      <c r="F68" s="20"/>
      <c r="G68" s="85"/>
      <c r="H68" s="85"/>
    </row>
    <row r="69" spans="1:8" hidden="1">
      <c r="A69" s="101" t="s">
        <v>247</v>
      </c>
      <c r="B69" s="102"/>
      <c r="C69" s="176" t="s">
        <v>225</v>
      </c>
      <c r="D69" s="148" t="s">
        <v>370</v>
      </c>
      <c r="E69" s="150"/>
      <c r="F69" s="20"/>
      <c r="G69" s="85" t="s">
        <v>335</v>
      </c>
      <c r="H69" s="85" t="s">
        <v>336</v>
      </c>
    </row>
    <row r="70" spans="1:8" hidden="1">
      <c r="A70" s="103" t="s">
        <v>355</v>
      </c>
      <c r="B70" s="102"/>
      <c r="C70" s="91" t="s">
        <v>226</v>
      </c>
      <c r="D70" s="148" t="s">
        <v>371</v>
      </c>
      <c r="E70" s="150"/>
      <c r="F70" s="20"/>
      <c r="G70" s="85"/>
      <c r="H70" s="85"/>
    </row>
    <row r="71" spans="1:8" hidden="1">
      <c r="A71" s="165" t="s">
        <v>254</v>
      </c>
      <c r="B71" s="110"/>
      <c r="C71" s="91" t="s">
        <v>226</v>
      </c>
      <c r="D71" s="148" t="s">
        <v>372</v>
      </c>
      <c r="E71" s="150"/>
      <c r="F71" s="20"/>
      <c r="G71" s="85"/>
      <c r="H71" s="85"/>
    </row>
    <row r="72" spans="1:8" ht="16" hidden="1" thickBot="1">
      <c r="A72" s="165" t="s">
        <v>255</v>
      </c>
      <c r="B72" s="110"/>
      <c r="C72" s="91" t="s">
        <v>226</v>
      </c>
      <c r="D72" s="111" t="s">
        <v>373</v>
      </c>
      <c r="E72" s="112"/>
      <c r="F72" s="20"/>
      <c r="G72" s="85"/>
      <c r="H72" s="85"/>
    </row>
    <row r="73" spans="1:8" hidden="1">
      <c r="A73" s="103" t="s">
        <v>376</v>
      </c>
      <c r="B73" s="104"/>
      <c r="C73" s="91" t="s">
        <v>226</v>
      </c>
      <c r="F73" s="20"/>
      <c r="G73" s="85" t="s">
        <v>339</v>
      </c>
      <c r="H73" s="85" t="s">
        <v>340</v>
      </c>
    </row>
    <row r="74" spans="1:8" hidden="1">
      <c r="A74" s="165" t="s">
        <v>294</v>
      </c>
      <c r="B74" s="110"/>
      <c r="C74" s="91" t="s">
        <v>226</v>
      </c>
      <c r="F74" s="20"/>
      <c r="G74" s="85"/>
      <c r="H74" s="85"/>
    </row>
    <row r="75" spans="1:8" hidden="1">
      <c r="A75" s="165" t="s">
        <v>295</v>
      </c>
      <c r="B75" s="110"/>
      <c r="C75" s="91" t="s">
        <v>226</v>
      </c>
      <c r="F75" s="20"/>
      <c r="G75" s="85"/>
      <c r="H75" s="85"/>
    </row>
    <row r="76" spans="1:8" hidden="1">
      <c r="A76" s="109" t="s">
        <v>358</v>
      </c>
      <c r="B76" s="110"/>
      <c r="C76" s="91" t="s">
        <v>226</v>
      </c>
      <c r="F76" s="20"/>
      <c r="G76" s="85"/>
      <c r="H76" s="85"/>
    </row>
    <row r="77" spans="1:8" hidden="1">
      <c r="A77" s="109" t="s">
        <v>248</v>
      </c>
      <c r="B77" s="110"/>
      <c r="C77" s="176" t="s">
        <v>225</v>
      </c>
      <c r="F77" s="20"/>
      <c r="G77" s="85" t="s">
        <v>341</v>
      </c>
      <c r="H77" s="85" t="s">
        <v>342</v>
      </c>
    </row>
    <row r="78" spans="1:8" hidden="1">
      <c r="A78" s="103" t="s">
        <v>357</v>
      </c>
      <c r="B78" s="102"/>
      <c r="C78" s="91" t="s">
        <v>226</v>
      </c>
      <c r="F78" s="20"/>
      <c r="G78" s="85" t="s">
        <v>343</v>
      </c>
      <c r="H78" s="85" t="s">
        <v>344</v>
      </c>
    </row>
    <row r="79" spans="1:8" ht="16" hidden="1" thickBot="1">
      <c r="A79" s="107" t="s">
        <v>256</v>
      </c>
      <c r="B79" s="106"/>
      <c r="C79" s="91" t="s">
        <v>226</v>
      </c>
      <c r="F79" s="20"/>
      <c r="G79" s="85" t="s">
        <v>345</v>
      </c>
      <c r="H79" s="85" t="s">
        <v>346</v>
      </c>
    </row>
    <row r="80" spans="1:8" ht="16" hidden="1" thickBot="1">
      <c r="A80" s="20"/>
      <c r="B80" s="20"/>
      <c r="C80" s="20"/>
      <c r="F80" s="20"/>
      <c r="G80" s="85"/>
      <c r="H80" s="85"/>
    </row>
    <row r="81" spans="1:8" hidden="1">
      <c r="A81" s="266" t="s">
        <v>259</v>
      </c>
      <c r="B81" s="267"/>
      <c r="C81" s="20"/>
      <c r="D81" s="209" t="s">
        <v>369</v>
      </c>
      <c r="E81" s="208"/>
      <c r="F81" s="20"/>
      <c r="G81" s="85"/>
      <c r="H81" s="85"/>
    </row>
    <row r="82" spans="1:8" hidden="1">
      <c r="A82" s="101" t="s">
        <v>247</v>
      </c>
      <c r="B82" s="102"/>
      <c r="C82" s="176" t="s">
        <v>225</v>
      </c>
      <c r="D82" s="148" t="s">
        <v>370</v>
      </c>
      <c r="E82" s="150"/>
      <c r="F82" s="20"/>
      <c r="G82" s="85" t="s">
        <v>335</v>
      </c>
      <c r="H82" s="85" t="s">
        <v>336</v>
      </c>
    </row>
    <row r="83" spans="1:8" hidden="1">
      <c r="A83" s="103" t="s">
        <v>355</v>
      </c>
      <c r="B83" s="102"/>
      <c r="C83" s="108" t="s">
        <v>226</v>
      </c>
      <c r="D83" s="148" t="s">
        <v>371</v>
      </c>
      <c r="E83" s="150"/>
      <c r="F83" s="20"/>
      <c r="G83" s="85"/>
      <c r="H83" s="85"/>
    </row>
    <row r="84" spans="1:8" hidden="1">
      <c r="A84" s="103" t="s">
        <v>254</v>
      </c>
      <c r="B84" s="104"/>
      <c r="C84" s="91" t="s">
        <v>226</v>
      </c>
      <c r="D84" s="148" t="s">
        <v>372</v>
      </c>
      <c r="E84" s="150"/>
      <c r="F84" s="20"/>
      <c r="G84" s="85"/>
      <c r="H84" s="85"/>
    </row>
    <row r="85" spans="1:8" ht="16" hidden="1" thickBot="1">
      <c r="A85" s="165" t="s">
        <v>255</v>
      </c>
      <c r="B85" s="104"/>
      <c r="C85" s="91" t="s">
        <v>226</v>
      </c>
      <c r="D85" s="111" t="s">
        <v>373</v>
      </c>
      <c r="E85" s="112"/>
      <c r="F85" s="20"/>
      <c r="G85" s="85"/>
      <c r="H85" s="85"/>
    </row>
    <row r="86" spans="1:8" hidden="1">
      <c r="A86" s="103" t="s">
        <v>376</v>
      </c>
      <c r="B86" s="104"/>
      <c r="C86" s="91" t="s">
        <v>226</v>
      </c>
      <c r="F86" s="20"/>
      <c r="G86" s="85" t="s">
        <v>339</v>
      </c>
      <c r="H86" s="85" t="s">
        <v>340</v>
      </c>
    </row>
    <row r="87" spans="1:8" hidden="1">
      <c r="A87" s="165" t="s">
        <v>294</v>
      </c>
      <c r="B87" s="104"/>
      <c r="C87" s="91" t="s">
        <v>226</v>
      </c>
      <c r="F87" s="20"/>
      <c r="G87" s="85"/>
      <c r="H87" s="85"/>
    </row>
    <row r="88" spans="1:8" hidden="1">
      <c r="A88" s="165" t="s">
        <v>295</v>
      </c>
      <c r="B88" s="104"/>
      <c r="C88" s="91" t="s">
        <v>226</v>
      </c>
      <c r="F88" s="20"/>
      <c r="G88" s="85"/>
      <c r="H88" s="85"/>
    </row>
    <row r="89" spans="1:8" hidden="1">
      <c r="A89" s="109" t="s">
        <v>248</v>
      </c>
      <c r="B89" s="104"/>
      <c r="C89" s="177" t="s">
        <v>225</v>
      </c>
      <c r="F89" s="20"/>
      <c r="G89" s="85" t="s">
        <v>341</v>
      </c>
      <c r="H89" s="85" t="s">
        <v>342</v>
      </c>
    </row>
    <row r="90" spans="1:8" hidden="1">
      <c r="A90" s="165" t="s">
        <v>357</v>
      </c>
      <c r="B90" s="102"/>
      <c r="C90" s="91" t="s">
        <v>226</v>
      </c>
      <c r="F90" s="20"/>
      <c r="G90" s="85" t="s">
        <v>343</v>
      </c>
      <c r="H90" s="85" t="s">
        <v>344</v>
      </c>
    </row>
    <row r="91" spans="1:8" hidden="1">
      <c r="A91" s="103" t="s">
        <v>256</v>
      </c>
      <c r="B91" s="104"/>
      <c r="C91" s="177" t="s">
        <v>359</v>
      </c>
      <c r="F91" s="20"/>
      <c r="G91" s="85" t="s">
        <v>393</v>
      </c>
      <c r="H91" s="85" t="s">
        <v>394</v>
      </c>
    </row>
    <row r="92" spans="1:8" hidden="1">
      <c r="A92" s="109" t="s">
        <v>260</v>
      </c>
      <c r="B92" s="110"/>
      <c r="C92" s="91" t="s">
        <v>226</v>
      </c>
      <c r="F92" s="20"/>
      <c r="G92" s="85" t="s">
        <v>393</v>
      </c>
      <c r="H92" s="85" t="s">
        <v>394</v>
      </c>
    </row>
    <row r="93" spans="1:8" ht="16" hidden="1" thickBot="1">
      <c r="A93" s="111" t="s">
        <v>262</v>
      </c>
      <c r="B93" s="112"/>
      <c r="C93" s="91" t="s">
        <v>226</v>
      </c>
      <c r="F93" s="20"/>
      <c r="G93" s="85"/>
      <c r="H93" s="85"/>
    </row>
    <row r="94" spans="1:8" ht="16" hidden="1" thickBot="1">
      <c r="A94" s="20"/>
      <c r="B94" s="20"/>
      <c r="C94" s="94"/>
      <c r="F94" s="20"/>
      <c r="G94" s="85"/>
      <c r="H94" s="85"/>
    </row>
    <row r="95" spans="1:8" hidden="1">
      <c r="A95" s="266" t="s">
        <v>261</v>
      </c>
      <c r="B95" s="267"/>
      <c r="C95" s="94"/>
      <c r="D95" s="209" t="s">
        <v>369</v>
      </c>
      <c r="E95" s="208"/>
      <c r="F95" s="20"/>
      <c r="G95" s="85"/>
      <c r="H95" s="85"/>
    </row>
    <row r="96" spans="1:8" hidden="1">
      <c r="A96" s="101" t="s">
        <v>247</v>
      </c>
      <c r="B96" s="102"/>
      <c r="C96" s="176" t="s">
        <v>225</v>
      </c>
      <c r="D96" s="148" t="s">
        <v>370</v>
      </c>
      <c r="E96" s="150"/>
      <c r="F96" s="20"/>
      <c r="G96" s="85" t="s">
        <v>335</v>
      </c>
      <c r="H96" s="85" t="s">
        <v>336</v>
      </c>
    </row>
    <row r="97" spans="1:8" hidden="1">
      <c r="A97" s="103" t="s">
        <v>355</v>
      </c>
      <c r="B97" s="102"/>
      <c r="C97" s="108" t="s">
        <v>226</v>
      </c>
      <c r="D97" s="148" t="s">
        <v>371</v>
      </c>
      <c r="E97" s="150"/>
      <c r="F97" s="20"/>
      <c r="G97" s="85"/>
      <c r="H97" s="85"/>
    </row>
    <row r="98" spans="1:8" hidden="1">
      <c r="A98" s="103" t="s">
        <v>254</v>
      </c>
      <c r="B98" s="104"/>
      <c r="C98" s="91" t="s">
        <v>226</v>
      </c>
      <c r="D98" s="148" t="s">
        <v>372</v>
      </c>
      <c r="E98" s="150"/>
      <c r="F98" s="20"/>
      <c r="G98" s="85"/>
      <c r="H98" s="85"/>
    </row>
    <row r="99" spans="1:8" ht="16" hidden="1" thickBot="1">
      <c r="A99" s="103" t="s">
        <v>255</v>
      </c>
      <c r="B99" s="104"/>
      <c r="C99" s="91" t="s">
        <v>226</v>
      </c>
      <c r="D99" s="111" t="s">
        <v>373</v>
      </c>
      <c r="E99" s="112"/>
      <c r="G99" s="85"/>
      <c r="H99" s="85"/>
    </row>
    <row r="100" spans="1:8" hidden="1">
      <c r="A100" s="103" t="s">
        <v>376</v>
      </c>
      <c r="B100" s="104"/>
      <c r="C100" s="91" t="s">
        <v>226</v>
      </c>
      <c r="F100" s="20"/>
      <c r="G100" s="85" t="s">
        <v>339</v>
      </c>
      <c r="H100" s="85" t="s">
        <v>340</v>
      </c>
    </row>
    <row r="101" spans="1:8" hidden="1">
      <c r="A101" s="101" t="s">
        <v>248</v>
      </c>
      <c r="B101" s="104"/>
      <c r="C101" s="177" t="s">
        <v>225</v>
      </c>
      <c r="G101" s="85" t="s">
        <v>341</v>
      </c>
      <c r="H101" s="85" t="s">
        <v>342</v>
      </c>
    </row>
    <row r="102" spans="1:8" hidden="1">
      <c r="A102" s="103" t="s">
        <v>357</v>
      </c>
      <c r="B102" s="102"/>
      <c r="C102" s="91" t="s">
        <v>226</v>
      </c>
      <c r="G102" s="85" t="s">
        <v>343</v>
      </c>
      <c r="H102" s="85" t="s">
        <v>344</v>
      </c>
    </row>
    <row r="103" spans="1:8" ht="16" hidden="1" thickBot="1">
      <c r="A103" s="107" t="s">
        <v>256</v>
      </c>
      <c r="B103" s="106"/>
      <c r="C103" s="91" t="s">
        <v>226</v>
      </c>
      <c r="G103" s="85" t="s">
        <v>345</v>
      </c>
      <c r="H103" s="85" t="s">
        <v>346</v>
      </c>
    </row>
    <row r="104" spans="1:8" hidden="1">
      <c r="G104" s="85"/>
      <c r="H104" s="85"/>
    </row>
    <row r="105" spans="1:8">
      <c r="G105" s="85"/>
      <c r="H105" s="85"/>
    </row>
    <row r="106" spans="1:8">
      <c r="G106" s="85"/>
      <c r="H106" s="85"/>
    </row>
    <row r="107" spans="1:8">
      <c r="G107" s="85"/>
      <c r="H107" s="85"/>
    </row>
    <row r="108" spans="1:8">
      <c r="G108" s="85"/>
      <c r="H108" s="85"/>
    </row>
    <row r="109" spans="1:8">
      <c r="G109" s="85"/>
      <c r="H109" s="85"/>
    </row>
    <row r="110" spans="1:8">
      <c r="G110" s="85"/>
      <c r="H110" s="85"/>
    </row>
  </sheetData>
  <mergeCells count="8">
    <mergeCell ref="A12:B12"/>
    <mergeCell ref="A22:B22"/>
    <mergeCell ref="A95:B95"/>
    <mergeCell ref="A33:B33"/>
    <mergeCell ref="A45:B45"/>
    <mergeCell ref="A56:B56"/>
    <mergeCell ref="A68:B68"/>
    <mergeCell ref="A81:B81"/>
  </mergeCells>
  <dataValidations count="3">
    <dataValidation type="list" showInputMessage="1" showErrorMessage="1" sqref="E23:E26">
      <formula1>$H$122:$H$124</formula1>
    </dataValidation>
    <dataValidation type="list" showInputMessage="1" showErrorMessage="1" sqref="E34:E37">
      <formula1>$H$122:$H$124</formula1>
    </dataValidation>
    <dataValidation type="list" showInputMessage="1" showErrorMessage="1" sqref="E46:E49">
      <formula1>$H$122:$H$124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3" name="Button 3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19</xdr:row>
                    <xdr:rowOff>25400</xdr:rowOff>
                  </from>
                  <to>
                    <xdr:col>1</xdr:col>
                    <xdr:colOff>1155700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30</xdr:row>
                    <xdr:rowOff>25400</xdr:rowOff>
                  </from>
                  <to>
                    <xdr:col>1</xdr:col>
                    <xdr:colOff>1155700</xdr:colOff>
                    <xdr:row>30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42</xdr:row>
                    <xdr:rowOff>25400</xdr:rowOff>
                  </from>
                  <to>
                    <xdr:col>1</xdr:col>
                    <xdr:colOff>1155700</xdr:colOff>
                    <xdr:row>42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cloneNMRsheet">
                <anchor moveWithCells="1" sizeWithCells="1">
                  <from>
                    <xdr:col>1</xdr:col>
                    <xdr:colOff>12700</xdr:colOff>
                    <xdr:row>44</xdr:row>
                    <xdr:rowOff>0</xdr:rowOff>
                  </from>
                  <to>
                    <xdr:col>1</xdr:col>
                    <xdr:colOff>1155700</xdr:colOff>
                    <xdr:row>44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526A99F-5838-0049-B29E-18381EC6983C}">
            <xm:f>$B$6=form_data!$H$119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A7:B7</xm:sqref>
        </x14:conditionalFormatting>
        <x14:conditionalFormatting xmlns:xm="http://schemas.microsoft.com/office/excel/2006/main">
          <x14:cfRule type="expression" priority="1" id="{ED92E1AB-A284-C741-8E5A-5FFF53D08AC6}">
            <xm:f>$B$6=form_data!$H$118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A8:B8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form_data!$H$8:$H$11</xm:f>
          </x14:formula1>
          <xm:sqref>B2</xm:sqref>
        </x14:dataValidation>
        <x14:dataValidation type="list" allowBlank="1" showInputMessage="1" showErrorMessage="1">
          <x14:formula1>
            <xm:f>form_data!$H$111:$H$114</xm:f>
          </x14:formula1>
          <xm:sqref>B7</xm:sqref>
        </x14:dataValidation>
        <x14:dataValidation type="list" allowBlank="1" showInputMessage="1" showErrorMessage="1">
          <x14:formula1>
            <xm:f>form_data!$H$117:$H$119</xm:f>
          </x14:formula1>
          <xm:sqref>B6</xm:sqref>
        </x14:dataValidation>
        <x14:dataValidation type="list" allowBlank="1" showInputMessage="1" showErrorMessage="1">
          <x14:formula1>
            <xm:f>form_data!$H$48:$H$61</xm:f>
          </x14:formula1>
          <xm:sqref>B5</xm:sqref>
        </x14:dataValidation>
        <x14:dataValidation type="list" showInputMessage="1" showErrorMessage="1">
          <x14:formula1>
            <xm:f>form_data!$H$122:$H$124</xm:f>
          </x14:formula1>
          <xm:sqref>E13:E16</xm:sqref>
        </x14:dataValidation>
        <x14:dataValidation type="list" allowBlank="1" showInputMessage="1" showErrorMessage="1">
          <x14:formula1>
            <xm:f>form_data!$H$38:$H$42</xm:f>
          </x14:formula1>
          <xm:sqref>B4</xm:sqref>
        </x14:dataValidation>
        <x14:dataValidation type="list" allowBlank="1" showInputMessage="1" showErrorMessage="1">
          <x14:formula1>
            <xm:f>form_data!H2:H5</xm:f>
          </x14:formula1>
          <xm:sqref>B3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47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2" ht="16" thickBot="1">
      <c r="A1" s="113" t="s">
        <v>379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</row>
    <row r="2" spans="1:12" ht="16" thickBot="1">
      <c r="A2" s="114" t="s">
        <v>380</v>
      </c>
      <c r="B2" s="182" t="s">
        <v>381</v>
      </c>
      <c r="C2" s="182" t="s">
        <v>382</v>
      </c>
      <c r="D2" s="115" t="s">
        <v>37</v>
      </c>
      <c r="E2" s="182" t="s">
        <v>38</v>
      </c>
      <c r="F2" s="182" t="s">
        <v>383</v>
      </c>
      <c r="G2" s="115" t="s">
        <v>384</v>
      </c>
      <c r="H2" s="115" t="s">
        <v>385</v>
      </c>
      <c r="I2" s="182" t="s">
        <v>386</v>
      </c>
      <c r="J2" s="116" t="s">
        <v>387</v>
      </c>
      <c r="K2" s="20"/>
    </row>
    <row r="3" spans="1:12">
      <c r="A3" s="124"/>
      <c r="B3" s="183"/>
      <c r="C3" s="183"/>
      <c r="D3" s="125"/>
      <c r="E3" s="183"/>
      <c r="F3" s="183"/>
      <c r="G3" s="125"/>
      <c r="H3" s="125"/>
      <c r="I3" s="183"/>
      <c r="J3" s="126"/>
      <c r="K3" s="85" t="s">
        <v>271</v>
      </c>
    </row>
    <row r="4" spans="1:12">
      <c r="A4" s="127"/>
      <c r="B4" s="184"/>
      <c r="C4" s="184"/>
      <c r="D4" s="128"/>
      <c r="E4" s="184"/>
      <c r="F4" s="184"/>
      <c r="G4" s="128"/>
      <c r="H4" s="128"/>
      <c r="I4" s="184"/>
      <c r="J4" s="129"/>
      <c r="K4" s="20"/>
    </row>
    <row r="5" spans="1:12">
      <c r="A5" s="127"/>
      <c r="B5" s="184"/>
      <c r="C5" s="184"/>
      <c r="D5" s="128"/>
      <c r="E5" s="184"/>
      <c r="F5" s="184"/>
      <c r="G5" s="128"/>
      <c r="H5" s="128"/>
      <c r="I5" s="184"/>
      <c r="J5" s="129"/>
      <c r="K5" s="20"/>
    </row>
    <row r="6" spans="1:12">
      <c r="A6" s="127"/>
      <c r="B6" s="184"/>
      <c r="C6" s="184"/>
      <c r="D6" s="128"/>
      <c r="E6" s="184"/>
      <c r="F6" s="184"/>
      <c r="G6" s="128"/>
      <c r="H6" s="128"/>
      <c r="I6" s="184"/>
      <c r="J6" s="129"/>
      <c r="K6" s="20"/>
    </row>
    <row r="7" spans="1:12">
      <c r="A7" s="127"/>
      <c r="B7" s="184"/>
      <c r="C7" s="184"/>
      <c r="D7" s="128"/>
      <c r="E7" s="184"/>
      <c r="F7" s="184"/>
      <c r="G7" s="128"/>
      <c r="H7" s="128"/>
      <c r="I7" s="184"/>
      <c r="J7" s="129"/>
      <c r="K7" s="20"/>
    </row>
    <row r="8" spans="1:12">
      <c r="A8" s="127"/>
      <c r="B8" s="184"/>
      <c r="C8" s="184"/>
      <c r="D8" s="128"/>
      <c r="E8" s="184"/>
      <c r="F8" s="184"/>
      <c r="G8" s="128"/>
      <c r="H8" s="128"/>
      <c r="I8" s="184"/>
      <c r="J8" s="129"/>
      <c r="K8" s="20"/>
    </row>
    <row r="9" spans="1:12">
      <c r="A9" s="127"/>
      <c r="B9" s="184"/>
      <c r="C9" s="184"/>
      <c r="D9" s="128"/>
      <c r="E9" s="184"/>
      <c r="F9" s="184"/>
      <c r="G9" s="128"/>
      <c r="H9" s="128"/>
      <c r="I9" s="184"/>
      <c r="J9" s="129"/>
      <c r="K9" s="20"/>
    </row>
    <row r="10" spans="1:12">
      <c r="A10" s="127"/>
      <c r="B10" s="184"/>
      <c r="C10" s="184"/>
      <c r="D10" s="128"/>
      <c r="E10" s="184"/>
      <c r="F10" s="184"/>
      <c r="G10" s="128"/>
      <c r="H10" s="128"/>
      <c r="I10" s="184"/>
      <c r="J10" s="129"/>
      <c r="K10" s="20"/>
    </row>
    <row r="11" spans="1:12">
      <c r="A11" s="127"/>
      <c r="B11" s="184"/>
      <c r="C11" s="184"/>
      <c r="D11" s="128"/>
      <c r="E11" s="184"/>
      <c r="F11" s="184"/>
      <c r="G11" s="128"/>
      <c r="H11" s="128"/>
      <c r="I11" s="184"/>
      <c r="J11" s="129"/>
      <c r="K11" s="20"/>
    </row>
    <row r="12" spans="1:12">
      <c r="A12" s="127"/>
      <c r="B12" s="184"/>
      <c r="C12" s="184"/>
      <c r="D12" s="128"/>
      <c r="E12" s="184"/>
      <c r="F12" s="184"/>
      <c r="G12" s="128"/>
      <c r="H12" s="128"/>
      <c r="I12" s="184"/>
      <c r="J12" s="129"/>
      <c r="K12" s="20"/>
    </row>
    <row r="13" spans="1:12">
      <c r="A13" s="127"/>
      <c r="B13" s="184"/>
      <c r="C13" s="184"/>
      <c r="D13" s="128"/>
      <c r="E13" s="184"/>
      <c r="F13" s="184"/>
      <c r="G13" s="128"/>
      <c r="H13" s="128"/>
      <c r="I13" s="184"/>
      <c r="J13" s="129"/>
      <c r="K13" s="20"/>
    </row>
    <row r="14" spans="1:12">
      <c r="A14" s="127"/>
      <c r="B14" s="184"/>
      <c r="C14" s="184"/>
      <c r="D14" s="128"/>
      <c r="E14" s="184"/>
      <c r="F14" s="184"/>
      <c r="G14" s="128"/>
      <c r="H14" s="128"/>
      <c r="I14" s="184"/>
      <c r="J14" s="129"/>
      <c r="K14" s="20"/>
    </row>
    <row r="15" spans="1:12">
      <c r="A15" s="127"/>
      <c r="B15" s="184"/>
      <c r="C15" s="184"/>
      <c r="D15" s="128"/>
      <c r="E15" s="184"/>
      <c r="F15" s="184"/>
      <c r="G15" s="128"/>
      <c r="H15" s="128"/>
      <c r="I15" s="184"/>
      <c r="J15" s="129"/>
      <c r="K15" s="20"/>
    </row>
    <row r="16" spans="1:12">
      <c r="A16" s="127"/>
      <c r="B16" s="184"/>
      <c r="C16" s="184"/>
      <c r="D16" s="128"/>
      <c r="E16" s="184"/>
      <c r="F16" s="184"/>
      <c r="G16" s="128"/>
      <c r="H16" s="128"/>
      <c r="I16" s="184"/>
      <c r="J16" s="129"/>
      <c r="K16" s="20"/>
    </row>
    <row r="17" spans="1:12" ht="16" thickBot="1">
      <c r="A17" s="130"/>
      <c r="B17" s="185"/>
      <c r="C17" s="185"/>
      <c r="D17" s="131"/>
      <c r="E17" s="185"/>
      <c r="F17" s="185"/>
      <c r="G17" s="131"/>
      <c r="H17" s="131"/>
      <c r="I17" s="185"/>
      <c r="J17" s="132"/>
      <c r="K17" s="85" t="s">
        <v>270</v>
      </c>
    </row>
    <row r="18" spans="1:12" ht="16" thickBot="1"/>
    <row r="19" spans="1:12" ht="16" thickBot="1">
      <c r="A19" s="118" t="s">
        <v>388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</row>
    <row r="20" spans="1:12" ht="16" thickBot="1">
      <c r="A20" s="143" t="s">
        <v>380</v>
      </c>
      <c r="B20" s="186" t="s">
        <v>381</v>
      </c>
      <c r="C20" s="186" t="s">
        <v>382</v>
      </c>
      <c r="D20" s="199" t="s">
        <v>37</v>
      </c>
      <c r="E20" s="186" t="s">
        <v>38</v>
      </c>
      <c r="F20" s="186" t="s">
        <v>383</v>
      </c>
      <c r="G20" s="144" t="s">
        <v>384</v>
      </c>
      <c r="H20" s="199" t="s">
        <v>385</v>
      </c>
      <c r="I20" s="186" t="s">
        <v>386</v>
      </c>
      <c r="J20" s="145" t="s">
        <v>387</v>
      </c>
      <c r="K20" s="20"/>
    </row>
    <row r="21" spans="1:12">
      <c r="A21" s="140"/>
      <c r="B21" s="187"/>
      <c r="C21" s="187"/>
      <c r="D21" s="200"/>
      <c r="E21" s="187"/>
      <c r="F21" s="187"/>
      <c r="G21" s="141"/>
      <c r="H21" s="200"/>
      <c r="I21" s="187"/>
      <c r="J21" s="142"/>
      <c r="K21" s="85" t="s">
        <v>271</v>
      </c>
    </row>
    <row r="22" spans="1:12">
      <c r="A22" s="136"/>
      <c r="B22" s="188"/>
      <c r="C22" s="188"/>
      <c r="D22" s="201"/>
      <c r="E22" s="188"/>
      <c r="F22" s="188"/>
      <c r="G22" s="137"/>
      <c r="H22" s="201"/>
      <c r="I22" s="188"/>
      <c r="J22" s="129"/>
      <c r="K22" s="20"/>
    </row>
    <row r="23" spans="1:12">
      <c r="A23" s="136"/>
      <c r="B23" s="188"/>
      <c r="C23" s="188"/>
      <c r="D23" s="201"/>
      <c r="E23" s="188"/>
      <c r="F23" s="188"/>
      <c r="G23" s="137"/>
      <c r="H23" s="201"/>
      <c r="I23" s="188"/>
      <c r="J23" s="129"/>
      <c r="K23" s="20"/>
    </row>
    <row r="24" spans="1:12">
      <c r="A24" s="136"/>
      <c r="B24" s="188"/>
      <c r="C24" s="188"/>
      <c r="D24" s="201"/>
      <c r="E24" s="188"/>
      <c r="F24" s="188"/>
      <c r="G24" s="137"/>
      <c r="H24" s="201"/>
      <c r="I24" s="188"/>
      <c r="J24" s="129"/>
      <c r="K24" s="20"/>
    </row>
    <row r="25" spans="1:12">
      <c r="A25" s="136"/>
      <c r="B25" s="188"/>
      <c r="C25" s="188"/>
      <c r="D25" s="201"/>
      <c r="E25" s="188"/>
      <c r="F25" s="188"/>
      <c r="G25" s="137"/>
      <c r="H25" s="201"/>
      <c r="I25" s="188"/>
      <c r="J25" s="129"/>
      <c r="K25" s="20"/>
    </row>
    <row r="26" spans="1:12">
      <c r="A26" s="136"/>
      <c r="B26" s="188"/>
      <c r="C26" s="188"/>
      <c r="D26" s="201"/>
      <c r="E26" s="188"/>
      <c r="F26" s="188"/>
      <c r="G26" s="137"/>
      <c r="H26" s="201"/>
      <c r="I26" s="188"/>
      <c r="J26" s="129"/>
      <c r="K26" s="20"/>
    </row>
    <row r="27" spans="1:12">
      <c r="A27" s="136"/>
      <c r="B27" s="188"/>
      <c r="C27" s="188"/>
      <c r="D27" s="201"/>
      <c r="E27" s="188"/>
      <c r="F27" s="188"/>
      <c r="G27" s="137"/>
      <c r="H27" s="201"/>
      <c r="I27" s="188"/>
      <c r="J27" s="129"/>
      <c r="K27" s="20"/>
    </row>
    <row r="28" spans="1:12">
      <c r="A28" s="136"/>
      <c r="B28" s="188"/>
      <c r="C28" s="188"/>
      <c r="D28" s="201"/>
      <c r="E28" s="188"/>
      <c r="F28" s="188"/>
      <c r="G28" s="137"/>
      <c r="H28" s="201"/>
      <c r="I28" s="188"/>
      <c r="J28" s="129"/>
      <c r="K28" s="20"/>
    </row>
    <row r="29" spans="1:12">
      <c r="A29" s="136"/>
      <c r="B29" s="188"/>
      <c r="C29" s="188"/>
      <c r="D29" s="201"/>
      <c r="E29" s="188"/>
      <c r="F29" s="188"/>
      <c r="G29" s="137"/>
      <c r="H29" s="201"/>
      <c r="I29" s="188"/>
      <c r="J29" s="129"/>
      <c r="K29" s="20"/>
    </row>
    <row r="30" spans="1:12">
      <c r="A30" s="136"/>
      <c r="B30" s="188"/>
      <c r="C30" s="188"/>
      <c r="D30" s="201"/>
      <c r="E30" s="188"/>
      <c r="F30" s="188"/>
      <c r="G30" s="137"/>
      <c r="H30" s="201"/>
      <c r="I30" s="188"/>
      <c r="J30" s="129"/>
      <c r="K30" s="20"/>
    </row>
    <row r="31" spans="1:12">
      <c r="A31" s="136"/>
      <c r="B31" s="188"/>
      <c r="C31" s="188"/>
      <c r="D31" s="201"/>
      <c r="E31" s="188"/>
      <c r="F31" s="188"/>
      <c r="G31" s="137"/>
      <c r="H31" s="201"/>
      <c r="I31" s="188"/>
      <c r="J31" s="129"/>
      <c r="K31" s="20"/>
    </row>
    <row r="32" spans="1:12">
      <c r="A32" s="136"/>
      <c r="B32" s="188"/>
      <c r="C32" s="188"/>
      <c r="D32" s="201"/>
      <c r="E32" s="188"/>
      <c r="F32" s="188"/>
      <c r="G32" s="137"/>
      <c r="H32" s="201"/>
      <c r="I32" s="188"/>
      <c r="J32" s="129"/>
      <c r="K32" s="20"/>
    </row>
    <row r="33" spans="1:11">
      <c r="A33" s="136"/>
      <c r="B33" s="188"/>
      <c r="C33" s="188"/>
      <c r="D33" s="201"/>
      <c r="E33" s="188"/>
      <c r="F33" s="188"/>
      <c r="G33" s="137"/>
      <c r="H33" s="201"/>
      <c r="I33" s="188"/>
      <c r="J33" s="129"/>
      <c r="K33" s="20"/>
    </row>
    <row r="34" spans="1:11" ht="16" thickBot="1">
      <c r="A34" s="138"/>
      <c r="B34" s="189"/>
      <c r="C34" s="189"/>
      <c r="D34" s="202"/>
      <c r="E34" s="189"/>
      <c r="F34" s="189"/>
      <c r="G34" s="139"/>
      <c r="H34" s="202"/>
      <c r="I34" s="189"/>
      <c r="J34" s="132"/>
      <c r="K34" s="85" t="s">
        <v>270</v>
      </c>
    </row>
    <row r="35" spans="1:11" ht="16" thickBot="1"/>
    <row r="36" spans="1:11" ht="16" thickBot="1">
      <c r="A36" s="113" t="s">
        <v>49</v>
      </c>
      <c r="B36" s="20"/>
      <c r="C36" s="20"/>
      <c r="D36" s="85" t="s">
        <v>272</v>
      </c>
      <c r="E36" s="85" t="s">
        <v>273</v>
      </c>
      <c r="F36" s="20"/>
      <c r="G36" s="20"/>
    </row>
    <row r="37" spans="1:11" ht="16" thickBot="1">
      <c r="A37" s="114" t="s">
        <v>37</v>
      </c>
      <c r="B37" s="115" t="s">
        <v>36</v>
      </c>
      <c r="C37" s="115" t="s">
        <v>30</v>
      </c>
      <c r="D37" s="115" t="s">
        <v>263</v>
      </c>
      <c r="E37" s="115" t="s">
        <v>264</v>
      </c>
      <c r="F37" s="115" t="s">
        <v>389</v>
      </c>
      <c r="G37" s="190" t="s">
        <v>266</v>
      </c>
    </row>
    <row r="38" spans="1:11">
      <c r="A38" s="59"/>
      <c r="B38" s="147"/>
      <c r="C38" s="147"/>
      <c r="D38" s="147"/>
      <c r="E38" s="147"/>
      <c r="F38" s="147"/>
      <c r="G38" s="191"/>
      <c r="H38" s="85" t="s">
        <v>271</v>
      </c>
    </row>
    <row r="39" spans="1:11">
      <c r="A39" s="53"/>
      <c r="B39" s="57"/>
      <c r="C39" s="57"/>
      <c r="D39" s="57"/>
      <c r="E39" s="57"/>
      <c r="F39" s="57"/>
      <c r="G39" s="192"/>
      <c r="H39" s="85" t="s">
        <v>390</v>
      </c>
    </row>
    <row r="40" spans="1:11">
      <c r="A40" s="53"/>
      <c r="B40" s="57"/>
      <c r="C40" s="57"/>
      <c r="D40" s="57"/>
      <c r="E40" s="57"/>
      <c r="F40" s="57"/>
      <c r="G40" s="192"/>
      <c r="H40" s="1" t="s">
        <v>274</v>
      </c>
    </row>
    <row r="41" spans="1:11">
      <c r="A41" s="70"/>
      <c r="B41" s="29"/>
      <c r="C41" s="29"/>
      <c r="D41" s="29"/>
      <c r="E41" s="29"/>
      <c r="F41" s="29"/>
      <c r="G41" s="192"/>
    </row>
    <row r="42" spans="1:11">
      <c r="A42" s="70"/>
      <c r="B42" s="29"/>
      <c r="C42" s="29"/>
      <c r="D42" s="29"/>
      <c r="E42" s="29"/>
      <c r="F42" s="29"/>
      <c r="G42" s="192"/>
    </row>
    <row r="43" spans="1:11">
      <c r="A43" s="70"/>
      <c r="B43" s="29"/>
      <c r="C43" s="29"/>
      <c r="D43" s="29"/>
      <c r="E43" s="29"/>
      <c r="F43" s="29"/>
      <c r="G43" s="192"/>
    </row>
    <row r="44" spans="1:11">
      <c r="A44" s="70"/>
      <c r="B44" s="29"/>
      <c r="C44" s="29"/>
      <c r="D44" s="29"/>
      <c r="E44" s="29"/>
      <c r="F44" s="29"/>
      <c r="G44" s="192"/>
    </row>
    <row r="45" spans="1:11">
      <c r="A45" s="70"/>
      <c r="B45" s="29"/>
      <c r="C45" s="29"/>
      <c r="D45" s="29"/>
      <c r="E45" s="29"/>
      <c r="F45" s="29"/>
      <c r="G45" s="192"/>
    </row>
    <row r="46" spans="1:11">
      <c r="A46" s="121"/>
      <c r="B46" s="117"/>
      <c r="C46" s="117"/>
      <c r="D46" s="117"/>
      <c r="E46" s="117"/>
      <c r="F46" s="117"/>
      <c r="G46" s="193"/>
    </row>
    <row r="47" spans="1:11" ht="16" thickBot="1">
      <c r="A47" s="122"/>
      <c r="B47" s="123"/>
      <c r="C47" s="123"/>
      <c r="D47" s="123"/>
      <c r="E47" s="123"/>
      <c r="F47" s="123"/>
      <c r="G47" s="194"/>
      <c r="H47" s="85" t="s">
        <v>270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K10"/>
  <sheetViews>
    <sheetView workbookViewId="0">
      <selection activeCell="A3" sqref="A3"/>
    </sheetView>
  </sheetViews>
  <sheetFormatPr baseColWidth="10" defaultRowHeight="15" x14ac:dyDescent="0"/>
  <cols>
    <col min="1" max="1" width="20.5" bestFit="1" customWidth="1"/>
    <col min="2" max="2" width="9.6640625" bestFit="1" customWidth="1"/>
    <col min="3" max="3" width="11.33203125" bestFit="1" customWidth="1"/>
    <col min="4" max="5" width="17.1640625" bestFit="1" customWidth="1"/>
    <col min="6" max="6" width="13.1640625" bestFit="1" customWidth="1"/>
    <col min="7" max="7" width="12.5" bestFit="1" customWidth="1"/>
    <col min="8" max="8" width="15.33203125" bestFit="1" customWidth="1"/>
    <col min="9" max="9" width="13.6640625" bestFit="1" customWidth="1"/>
  </cols>
  <sheetData>
    <row r="1" spans="1:11" ht="16" thickBot="1">
      <c r="A1" s="118" t="s">
        <v>391</v>
      </c>
      <c r="B1" s="20"/>
      <c r="C1" s="20"/>
      <c r="D1" s="20"/>
      <c r="E1" s="20"/>
      <c r="F1" s="20"/>
      <c r="G1" s="20"/>
      <c r="H1" s="20"/>
      <c r="I1" s="20"/>
      <c r="J1" s="20"/>
    </row>
    <row r="2" spans="1:11" ht="16" thickBot="1">
      <c r="A2" s="153" t="s">
        <v>380</v>
      </c>
      <c r="B2" s="195" t="s">
        <v>381</v>
      </c>
      <c r="C2" s="195" t="s">
        <v>382</v>
      </c>
      <c r="D2" s="154" t="s">
        <v>37</v>
      </c>
      <c r="E2" s="195" t="s">
        <v>38</v>
      </c>
      <c r="F2" s="195" t="s">
        <v>383</v>
      </c>
      <c r="G2" s="154" t="s">
        <v>384</v>
      </c>
      <c r="H2" s="195" t="s">
        <v>385</v>
      </c>
      <c r="I2" s="154" t="s">
        <v>386</v>
      </c>
      <c r="J2" s="155" t="s">
        <v>387</v>
      </c>
      <c r="K2" s="20"/>
    </row>
    <row r="3" spans="1:11">
      <c r="A3" s="134"/>
      <c r="B3" s="196"/>
      <c r="C3" s="196"/>
      <c r="D3" s="151"/>
      <c r="E3" s="196"/>
      <c r="F3" s="196"/>
      <c r="G3" s="151"/>
      <c r="H3" s="196"/>
      <c r="I3" s="151"/>
      <c r="J3" s="152"/>
      <c r="K3" s="85" t="s">
        <v>271</v>
      </c>
    </row>
    <row r="4" spans="1:11">
      <c r="A4" s="148"/>
      <c r="B4" s="197"/>
      <c r="C4" s="197"/>
      <c r="D4" s="137"/>
      <c r="E4" s="197"/>
      <c r="F4" s="197"/>
      <c r="G4" s="137"/>
      <c r="H4" s="197"/>
      <c r="I4" s="137"/>
      <c r="J4" s="150"/>
      <c r="K4" s="20"/>
    </row>
    <row r="5" spans="1:11">
      <c r="A5" s="136"/>
      <c r="B5" s="197"/>
      <c r="C5" s="197"/>
      <c r="D5" s="137"/>
      <c r="E5" s="197"/>
      <c r="F5" s="197"/>
      <c r="G5" s="137"/>
      <c r="H5" s="197"/>
      <c r="I5" s="137"/>
      <c r="J5" s="150"/>
      <c r="K5" s="20"/>
    </row>
    <row r="6" spans="1:11">
      <c r="A6" s="136"/>
      <c r="B6" s="197"/>
      <c r="C6" s="197"/>
      <c r="D6" s="137"/>
      <c r="E6" s="197"/>
      <c r="F6" s="197"/>
      <c r="G6" s="137"/>
      <c r="H6" s="197"/>
      <c r="I6" s="137"/>
      <c r="J6" s="150"/>
      <c r="K6" s="20"/>
    </row>
    <row r="7" spans="1:11">
      <c r="A7" s="136"/>
      <c r="B7" s="197"/>
      <c r="C7" s="197"/>
      <c r="D7" s="137"/>
      <c r="E7" s="197"/>
      <c r="F7" s="197"/>
      <c r="G7" s="137"/>
      <c r="H7" s="197"/>
      <c r="I7" s="137"/>
      <c r="J7" s="150"/>
      <c r="K7" s="20"/>
    </row>
    <row r="8" spans="1:11">
      <c r="A8" s="136"/>
      <c r="B8" s="197"/>
      <c r="C8" s="197"/>
      <c r="D8" s="137"/>
      <c r="E8" s="197"/>
      <c r="F8" s="197"/>
      <c r="G8" s="137"/>
      <c r="H8" s="197"/>
      <c r="I8" s="137"/>
      <c r="J8" s="150"/>
      <c r="K8" s="20"/>
    </row>
    <row r="9" spans="1:11">
      <c r="A9" s="136"/>
      <c r="B9" s="197"/>
      <c r="C9" s="197"/>
      <c r="D9" s="137"/>
      <c r="E9" s="197"/>
      <c r="F9" s="197"/>
      <c r="G9" s="137"/>
      <c r="H9" s="197"/>
      <c r="I9" s="137"/>
      <c r="J9" s="150"/>
      <c r="K9" s="20"/>
    </row>
    <row r="10" spans="1:11" ht="16" thickBot="1">
      <c r="A10" s="138"/>
      <c r="B10" s="198"/>
      <c r="C10" s="198"/>
      <c r="D10" s="139"/>
      <c r="E10" s="198"/>
      <c r="F10" s="198"/>
      <c r="G10" s="139"/>
      <c r="H10" s="198"/>
      <c r="I10" s="139"/>
      <c r="J10" s="112"/>
      <c r="K10" s="85" t="s">
        <v>270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D23"/>
  <sheetViews>
    <sheetView workbookViewId="0">
      <selection activeCell="B1" sqref="B1"/>
    </sheetView>
  </sheetViews>
  <sheetFormatPr baseColWidth="10" defaultRowHeight="15" x14ac:dyDescent="0"/>
  <cols>
    <col min="1" max="1" width="15.33203125" bestFit="1" customWidth="1"/>
    <col min="2" max="2" width="39.5" customWidth="1"/>
  </cols>
  <sheetData>
    <row r="1" spans="1:4">
      <c r="A1" s="59" t="s">
        <v>133</v>
      </c>
      <c r="B1" s="76"/>
      <c r="C1" t="s">
        <v>300</v>
      </c>
    </row>
    <row r="2" spans="1:4">
      <c r="A2" s="56" t="s">
        <v>223</v>
      </c>
      <c r="B2" s="74"/>
      <c r="C2" t="s">
        <v>302</v>
      </c>
    </row>
    <row r="3" spans="1:4">
      <c r="A3" s="53" t="s">
        <v>134</v>
      </c>
      <c r="B3" s="167"/>
      <c r="C3" t="s">
        <v>303</v>
      </c>
      <c r="D3" s="168"/>
    </row>
    <row r="4" spans="1:4">
      <c r="A4" s="53" t="s">
        <v>132</v>
      </c>
      <c r="B4" s="30"/>
      <c r="C4" t="s">
        <v>301</v>
      </c>
    </row>
    <row r="5" spans="1:4" hidden="1">
      <c r="A5" s="60" t="s">
        <v>39</v>
      </c>
      <c r="B5" s="77"/>
    </row>
    <row r="6" spans="1:4" ht="16" hidden="1" thickBot="1">
      <c r="A6" s="55" t="s">
        <v>67</v>
      </c>
      <c r="B6" s="66"/>
    </row>
    <row r="7" spans="1:4" ht="16" thickBot="1"/>
    <row r="8" spans="1:4">
      <c r="A8" s="59" t="s">
        <v>73</v>
      </c>
      <c r="B8" s="76"/>
      <c r="C8" t="s">
        <v>304</v>
      </c>
    </row>
    <row r="9" spans="1:4" ht="16" thickBot="1">
      <c r="A9" s="55" t="s">
        <v>331</v>
      </c>
      <c r="B9" s="218"/>
      <c r="C9" t="s">
        <v>305</v>
      </c>
    </row>
    <row r="18" spans="1:2">
      <c r="A18" s="79" t="s">
        <v>145</v>
      </c>
      <c r="B18" s="79" t="s">
        <v>146</v>
      </c>
    </row>
    <row r="19" spans="1:2">
      <c r="A19" s="79" t="s">
        <v>147</v>
      </c>
      <c r="B19" s="79" t="s">
        <v>468</v>
      </c>
    </row>
    <row r="20" spans="1:2">
      <c r="A20" s="79" t="s">
        <v>148</v>
      </c>
      <c r="B20" s="79" t="s">
        <v>149</v>
      </c>
    </row>
    <row r="22" spans="1:2">
      <c r="A22" t="s">
        <v>218</v>
      </c>
      <c r="B22" t="s">
        <v>510</v>
      </c>
    </row>
    <row r="23" spans="1:2">
      <c r="A23" t="s">
        <v>219</v>
      </c>
      <c r="B23" t="s">
        <v>220</v>
      </c>
    </row>
  </sheetData>
  <pageMargins left="0.75" right="0.75" top="1" bottom="1" header="0.5" footer="0.5"/>
  <pageSetup paperSize="9" orientation="portrait" horizontalDpi="4294967292" verticalDpi="429496729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form_data!$L$2:$L$6</xm:f>
          </x14:formula1>
          <xm:sqref>B5</xm:sqref>
        </x14:dataValidation>
        <x14:dataValidation type="list" allowBlank="1" showInputMessage="1" showErrorMessage="1">
          <x14:formula1>
            <xm:f>form_data!$L$9:$L$14</xm:f>
          </x14:formula1>
          <xm:sqref>B20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25"/>
  <sheetViews>
    <sheetView workbookViewId="0"/>
  </sheetViews>
  <sheetFormatPr baseColWidth="10" defaultRowHeight="15" x14ac:dyDescent="0"/>
  <cols>
    <col min="1" max="1" width="15.33203125" bestFit="1" customWidth="1"/>
    <col min="2" max="2" width="29" bestFit="1" customWidth="1"/>
    <col min="3" max="3" width="14.1640625" style="13" bestFit="1" customWidth="1"/>
  </cols>
  <sheetData>
    <row r="1" spans="1:3">
      <c r="A1" t="s">
        <v>275</v>
      </c>
    </row>
    <row r="2" spans="1:3">
      <c r="B2" t="s">
        <v>378</v>
      </c>
      <c r="C2" s="13" t="str">
        <f>IF(analytical_sample!B4="","MISSING VALUE","ok")</f>
        <v>MISSING VALUE</v>
      </c>
    </row>
    <row r="3" spans="1:3">
      <c r="B3" t="s">
        <v>229</v>
      </c>
      <c r="C3" s="13" t="str">
        <f>IF((analytical_sample!B5="")*(analytical_sample!B4&lt;&gt;form_data!D11),"MISSING VALUE","ok")</f>
        <v>MISSING VALUE</v>
      </c>
    </row>
    <row r="4" spans="1:3">
      <c r="B4" t="s">
        <v>20</v>
      </c>
      <c r="C4" s="13" t="str">
        <f>IF(analytical_sample!B6="","MISSING VALUE","ok")</f>
        <v>MISSING VALUE</v>
      </c>
    </row>
    <row r="5" spans="1:3">
      <c r="B5" t="s">
        <v>24</v>
      </c>
      <c r="C5" s="13" t="str">
        <f>IF(analytical_sample!B1=form_data!A2,IF(analytical_sample!B16="","MISSING VALUE","ok"),IF(analytical_sample!B16="","-","ignored"))</f>
        <v>MISSING VALUE</v>
      </c>
    </row>
    <row r="6" spans="1:3" hidden="1">
      <c r="B6" t="s">
        <v>25</v>
      </c>
      <c r="C6" s="13" t="str">
        <f>IF(analytical_sample!B1=form_data!A4,IF(analytical_sample!#REF!="","MISSING VALUE","ok"),IF(analytical_sample!B16="","-","ignored"))</f>
        <v>-</v>
      </c>
    </row>
    <row r="7" spans="1:3" hidden="1">
      <c r="B7" t="s">
        <v>26</v>
      </c>
      <c r="C7" s="13" t="str">
        <f>IF(analytical_sample!B1=form_data!A4,IF(analytical_sample!B43="","MISSING VALUE","ok"),IF(analytical_sample!B16="","-","ignored"))</f>
        <v>-</v>
      </c>
    </row>
    <row r="9" spans="1:3">
      <c r="A9" t="s">
        <v>7</v>
      </c>
    </row>
    <row r="10" spans="1:3">
      <c r="B10" t="s">
        <v>413</v>
      </c>
      <c r="C10" s="13" t="str">
        <f>IF(chromatography!B24="","MISSING VALUE","ok")</f>
        <v>MISSING VALUE</v>
      </c>
    </row>
    <row r="11" spans="1:3">
      <c r="B11" t="s">
        <v>412</v>
      </c>
      <c r="C11" s="13" t="str">
        <f>IF(chromatography!B25="","MISSING VALUE","ok")</f>
        <v>MISSING VALUE</v>
      </c>
    </row>
    <row r="12" spans="1:3">
      <c r="B12" t="s">
        <v>414</v>
      </c>
      <c r="C12" s="13" t="str">
        <f>IF(chromatography!B26="","MISSING VALUE","ok")</f>
        <v>MISSING VALUE</v>
      </c>
    </row>
    <row r="14" spans="1:3">
      <c r="A14" t="s">
        <v>291</v>
      </c>
    </row>
    <row r="15" spans="1:3">
      <c r="B15" t="s">
        <v>418</v>
      </c>
    </row>
    <row r="17" spans="1:3">
      <c r="A17" t="s">
        <v>292</v>
      </c>
    </row>
    <row r="18" spans="1:3">
      <c r="B18" t="s">
        <v>415</v>
      </c>
      <c r="C18" s="13" t="str">
        <f>IF(NMR_analyzer!B3="","MISSING VALUE","ok")</f>
        <v>MISSING VALUE</v>
      </c>
    </row>
    <row r="19" spans="1:3">
      <c r="B19" t="s">
        <v>243</v>
      </c>
      <c r="C19" s="13" t="str">
        <f>IF(NMR_analyzer!B5="","MISSING VALUE","ok")</f>
        <v>MISSING VALUE</v>
      </c>
    </row>
    <row r="20" spans="1:3">
      <c r="B20" t="s">
        <v>416</v>
      </c>
      <c r="C20" s="13" t="str">
        <f>IF(NMR_analyzer!B6="","MISSING VALUE","ok")</f>
        <v>MISSING VALUE</v>
      </c>
    </row>
    <row r="21" spans="1:3">
      <c r="B21" t="s">
        <v>244</v>
      </c>
      <c r="C21" s="13" t="str">
        <f>IF(NMR_analyzer!B6&lt;&gt;form_data!H118,IF(NMR_analyzer!B7="","MISSING VALUE","ok"),IF(NMR_analyzer!B7="","-","ignored"))</f>
        <v>MISSING VALUE</v>
      </c>
    </row>
    <row r="22" spans="1:3">
      <c r="B22" t="s">
        <v>417</v>
      </c>
      <c r="C22" s="13" t="str">
        <f>IF(NMR_analyzer!B6&lt;&gt;form_data!H119,IF(NMR_analyzer!B8="","MISSING VALUE","ok"),IF(NMR_analyzer!B8="","-","ignored"))</f>
        <v>MISSING VALUE</v>
      </c>
    </row>
    <row r="24" spans="1:3">
      <c r="A24" t="s">
        <v>14</v>
      </c>
    </row>
    <row r="25" spans="1:3">
      <c r="B25" t="s">
        <v>133</v>
      </c>
      <c r="C25" s="13" t="str">
        <f>IF(other!B1="","MISSING VALUE","ok")</f>
        <v>MISSING VALUE</v>
      </c>
    </row>
  </sheetData>
  <phoneticPr fontId="8" type="noConversion"/>
  <conditionalFormatting sqref="C1:C1048576">
    <cfRule type="cellIs" dxfId="2" priority="10" operator="equal">
      <formula>"MISSING VALUE"</formula>
    </cfRule>
    <cfRule type="cellIs" dxfId="1" priority="11" operator="equal">
      <formula>"ok"</formula>
    </cfRule>
    <cfRule type="cellIs" dxfId="0" priority="12" operator="equal">
      <formula>"-"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L124"/>
  <sheetViews>
    <sheetView topLeftCell="D1" workbookViewId="0">
      <selection activeCell="D2" sqref="D2"/>
    </sheetView>
  </sheetViews>
  <sheetFormatPr baseColWidth="10" defaultRowHeight="15" x14ac:dyDescent="0"/>
  <cols>
    <col min="1" max="1" width="41.5" bestFit="1" customWidth="1"/>
    <col min="2" max="2" width="19.33203125" bestFit="1" customWidth="1"/>
    <col min="3" max="3" width="15" bestFit="1" customWidth="1"/>
    <col min="4" max="4" width="30" bestFit="1" customWidth="1"/>
    <col min="5" max="5" width="19.83203125" bestFit="1" customWidth="1"/>
    <col min="6" max="6" width="21.33203125" bestFit="1" customWidth="1"/>
    <col min="7" max="7" width="57.1640625" bestFit="1" customWidth="1"/>
    <col min="8" max="8" width="23" customWidth="1"/>
  </cols>
  <sheetData>
    <row r="1" spans="1:12">
      <c r="A1" s="1" t="s">
        <v>0</v>
      </c>
      <c r="B1" s="1" t="s">
        <v>9</v>
      </c>
      <c r="C1" s="1" t="s">
        <v>10</v>
      </c>
      <c r="D1" s="1" t="s">
        <v>53</v>
      </c>
      <c r="E1" s="1" t="s">
        <v>78</v>
      </c>
      <c r="F1" s="1" t="s">
        <v>77</v>
      </c>
      <c r="G1" s="1" t="s">
        <v>84</v>
      </c>
      <c r="H1" s="1" t="s">
        <v>85</v>
      </c>
      <c r="J1" s="1" t="s">
        <v>135</v>
      </c>
      <c r="K1" s="1" t="s">
        <v>502</v>
      </c>
      <c r="L1" s="1" t="s">
        <v>128</v>
      </c>
    </row>
    <row r="2" spans="1:12">
      <c r="A2" t="s">
        <v>461</v>
      </c>
      <c r="D2" s="2" t="s">
        <v>54</v>
      </c>
      <c r="E2" t="s">
        <v>74</v>
      </c>
      <c r="G2" s="1"/>
    </row>
    <row r="3" spans="1:12">
      <c r="A3" t="s">
        <v>462</v>
      </c>
      <c r="B3" t="s">
        <v>476</v>
      </c>
      <c r="C3" t="s">
        <v>11</v>
      </c>
      <c r="D3" s="94" t="s">
        <v>52</v>
      </c>
      <c r="E3" t="s">
        <v>75</v>
      </c>
      <c r="G3" s="58" t="s">
        <v>298</v>
      </c>
      <c r="H3">
        <v>500</v>
      </c>
      <c r="J3" t="s">
        <v>136</v>
      </c>
      <c r="K3" t="s">
        <v>506</v>
      </c>
      <c r="L3" t="s">
        <v>129</v>
      </c>
    </row>
    <row r="4" spans="1:12">
      <c r="A4" t="s">
        <v>463</v>
      </c>
      <c r="B4" t="s">
        <v>477</v>
      </c>
      <c r="C4" t="s">
        <v>13</v>
      </c>
      <c r="D4" s="2" t="s">
        <v>55</v>
      </c>
      <c r="E4" t="s">
        <v>76</v>
      </c>
      <c r="F4" s="38" t="s">
        <v>83</v>
      </c>
      <c r="G4" s="41" t="s">
        <v>299</v>
      </c>
      <c r="H4" s="20">
        <v>600</v>
      </c>
      <c r="J4" t="s">
        <v>137</v>
      </c>
      <c r="K4" t="s">
        <v>505</v>
      </c>
      <c r="L4" t="s">
        <v>130</v>
      </c>
    </row>
    <row r="5" spans="1:12">
      <c r="A5" t="s">
        <v>455</v>
      </c>
      <c r="B5" t="s">
        <v>478</v>
      </c>
      <c r="C5" t="s">
        <v>12</v>
      </c>
      <c r="D5" s="94" t="s">
        <v>56</v>
      </c>
      <c r="G5" t="s">
        <v>512</v>
      </c>
      <c r="H5" s="20">
        <v>800</v>
      </c>
      <c r="J5" t="s">
        <v>138</v>
      </c>
      <c r="K5" t="s">
        <v>504</v>
      </c>
      <c r="L5" t="s">
        <v>131</v>
      </c>
    </row>
    <row r="6" spans="1:12">
      <c r="B6" t="s">
        <v>479</v>
      </c>
      <c r="C6" t="s">
        <v>47</v>
      </c>
      <c r="D6" s="94" t="s">
        <v>232</v>
      </c>
      <c r="E6" t="s">
        <v>64</v>
      </c>
      <c r="F6" s="20" t="s">
        <v>81</v>
      </c>
      <c r="G6" s="41" t="s">
        <v>437</v>
      </c>
      <c r="K6" t="s">
        <v>503</v>
      </c>
      <c r="L6" t="s">
        <v>14</v>
      </c>
    </row>
    <row r="7" spans="1:12">
      <c r="A7" s="1" t="s">
        <v>4</v>
      </c>
      <c r="C7" t="s">
        <v>230</v>
      </c>
      <c r="F7" s="20" t="s">
        <v>82</v>
      </c>
      <c r="G7" s="41" t="s">
        <v>438</v>
      </c>
      <c r="H7" s="1" t="s">
        <v>31</v>
      </c>
      <c r="J7" s="1" t="s">
        <v>35</v>
      </c>
    </row>
    <row r="8" spans="1:12">
      <c r="A8" t="s">
        <v>5</v>
      </c>
      <c r="B8" t="s">
        <v>474</v>
      </c>
      <c r="C8" t="s">
        <v>231</v>
      </c>
      <c r="D8" s="1" t="s">
        <v>3</v>
      </c>
      <c r="G8" s="41" t="s">
        <v>435</v>
      </c>
      <c r="L8" s="1" t="s">
        <v>148</v>
      </c>
    </row>
    <row r="9" spans="1:12">
      <c r="A9" t="s">
        <v>6</v>
      </c>
      <c r="B9" t="s">
        <v>475</v>
      </c>
      <c r="D9" s="2" t="s">
        <v>51</v>
      </c>
      <c r="F9" s="1" t="s">
        <v>156</v>
      </c>
      <c r="G9" s="41" t="s">
        <v>436</v>
      </c>
      <c r="H9" s="2" t="s">
        <v>235</v>
      </c>
      <c r="J9" t="s">
        <v>139</v>
      </c>
    </row>
    <row r="10" spans="1:12">
      <c r="B10" t="s">
        <v>480</v>
      </c>
      <c r="C10" t="s">
        <v>483</v>
      </c>
      <c r="D10" s="2" t="s">
        <v>52</v>
      </c>
      <c r="G10" s="41" t="s">
        <v>439</v>
      </c>
      <c r="H10" s="94" t="s">
        <v>236</v>
      </c>
      <c r="J10" t="s">
        <v>140</v>
      </c>
      <c r="L10" t="s">
        <v>149</v>
      </c>
    </row>
    <row r="11" spans="1:12">
      <c r="A11" s="1" t="s">
        <v>312</v>
      </c>
      <c r="C11" t="s">
        <v>484</v>
      </c>
      <c r="D11" s="2" t="s">
        <v>56</v>
      </c>
      <c r="F11" t="s">
        <v>157</v>
      </c>
      <c r="G11" s="41" t="s">
        <v>429</v>
      </c>
      <c r="H11" s="94" t="s">
        <v>237</v>
      </c>
      <c r="L11" t="s">
        <v>150</v>
      </c>
    </row>
    <row r="12" spans="1:12">
      <c r="B12" t="s">
        <v>481</v>
      </c>
      <c r="C12" t="s">
        <v>485</v>
      </c>
      <c r="D12" s="2" t="s">
        <v>54</v>
      </c>
      <c r="F12" t="s">
        <v>158</v>
      </c>
      <c r="G12" s="41" t="s">
        <v>430</v>
      </c>
      <c r="J12" s="1" t="s">
        <v>142</v>
      </c>
      <c r="L12" t="s">
        <v>151</v>
      </c>
    </row>
    <row r="13" spans="1:12">
      <c r="A13" t="s">
        <v>74</v>
      </c>
      <c r="B13" t="s">
        <v>482</v>
      </c>
      <c r="C13" t="s">
        <v>486</v>
      </c>
      <c r="F13" t="s">
        <v>159</v>
      </c>
      <c r="G13" s="41" t="s">
        <v>431</v>
      </c>
      <c r="H13" s="95" t="s">
        <v>234</v>
      </c>
      <c r="J13" s="1"/>
      <c r="L13" t="s">
        <v>152</v>
      </c>
    </row>
    <row r="14" spans="1:12">
      <c r="A14" t="s">
        <v>51</v>
      </c>
      <c r="C14" t="s">
        <v>487</v>
      </c>
      <c r="D14" s="1" t="s">
        <v>57</v>
      </c>
      <c r="F14" t="s">
        <v>160</v>
      </c>
      <c r="G14" s="220" t="s">
        <v>449</v>
      </c>
      <c r="J14" t="s">
        <v>144</v>
      </c>
      <c r="L14" t="s">
        <v>153</v>
      </c>
    </row>
    <row r="15" spans="1:12">
      <c r="A15" t="s">
        <v>314</v>
      </c>
      <c r="B15" t="s">
        <v>473</v>
      </c>
      <c r="C15" t="s">
        <v>488</v>
      </c>
      <c r="D15" t="s">
        <v>58</v>
      </c>
      <c r="F15" t="s">
        <v>161</v>
      </c>
      <c r="G15" s="220" t="s">
        <v>432</v>
      </c>
      <c r="H15" t="s">
        <v>86</v>
      </c>
      <c r="J15" t="s">
        <v>493</v>
      </c>
      <c r="L15" t="s">
        <v>154</v>
      </c>
    </row>
    <row r="16" spans="1:12">
      <c r="A16" t="s">
        <v>313</v>
      </c>
      <c r="C16" t="s">
        <v>489</v>
      </c>
      <c r="D16" s="2" t="s">
        <v>233</v>
      </c>
      <c r="F16" t="s">
        <v>14</v>
      </c>
      <c r="G16" s="41" t="s">
        <v>433</v>
      </c>
      <c r="H16" s="20" t="s">
        <v>87</v>
      </c>
      <c r="J16" t="s">
        <v>494</v>
      </c>
    </row>
    <row r="17" spans="1:10">
      <c r="A17" t="s">
        <v>315</v>
      </c>
      <c r="C17" t="s">
        <v>490</v>
      </c>
      <c r="D17" t="s">
        <v>59</v>
      </c>
      <c r="G17" s="41" t="s">
        <v>434</v>
      </c>
      <c r="H17" s="20" t="s">
        <v>88</v>
      </c>
      <c r="J17" t="s">
        <v>143</v>
      </c>
    </row>
    <row r="18" spans="1:10">
      <c r="A18" t="s">
        <v>323</v>
      </c>
      <c r="C18" t="s">
        <v>491</v>
      </c>
      <c r="D18" t="s">
        <v>424</v>
      </c>
      <c r="F18" s="1" t="s">
        <v>162</v>
      </c>
      <c r="G18" s="41" t="s">
        <v>450</v>
      </c>
      <c r="J18" t="s">
        <v>495</v>
      </c>
    </row>
    <row r="19" spans="1:10">
      <c r="A19" t="s">
        <v>324</v>
      </c>
      <c r="D19" t="s">
        <v>68</v>
      </c>
      <c r="F19" s="58" t="s">
        <v>97</v>
      </c>
      <c r="G19" s="41" t="s">
        <v>451</v>
      </c>
      <c r="H19" s="1" t="s">
        <v>94</v>
      </c>
      <c r="J19" t="s">
        <v>496</v>
      </c>
    </row>
    <row r="20" spans="1:10">
      <c r="A20" t="s">
        <v>402</v>
      </c>
      <c r="C20" t="s">
        <v>472</v>
      </c>
      <c r="D20" t="s">
        <v>69</v>
      </c>
      <c r="G20" s="58" t="s">
        <v>317</v>
      </c>
      <c r="J20" s="20" t="s">
        <v>497</v>
      </c>
    </row>
    <row r="21" spans="1:10">
      <c r="G21" s="58" t="s">
        <v>318</v>
      </c>
      <c r="H21" t="s">
        <v>89</v>
      </c>
    </row>
    <row r="22" spans="1:10">
      <c r="A22" s="1"/>
      <c r="C22" t="s">
        <v>492</v>
      </c>
      <c r="D22" s="1" t="s">
        <v>63</v>
      </c>
      <c r="G22" s="58" t="s">
        <v>319</v>
      </c>
      <c r="H22" t="s">
        <v>90</v>
      </c>
      <c r="J22" s="1" t="s">
        <v>279</v>
      </c>
    </row>
    <row r="23" spans="1:10">
      <c r="C23" t="s">
        <v>471</v>
      </c>
      <c r="D23" t="s">
        <v>60</v>
      </c>
      <c r="G23" s="58" t="s">
        <v>320</v>
      </c>
      <c r="H23" t="s">
        <v>91</v>
      </c>
      <c r="J23" t="s">
        <v>281</v>
      </c>
    </row>
    <row r="24" spans="1:10">
      <c r="D24" s="20" t="s">
        <v>61</v>
      </c>
      <c r="G24" s="58" t="s">
        <v>321</v>
      </c>
      <c r="H24" t="s">
        <v>92</v>
      </c>
      <c r="J24" t="s">
        <v>282</v>
      </c>
    </row>
    <row r="25" spans="1:10">
      <c r="D25" s="20" t="s">
        <v>62</v>
      </c>
      <c r="G25" s="58" t="s">
        <v>322</v>
      </c>
    </row>
    <row r="26" spans="1:10">
      <c r="D26" t="s">
        <v>14</v>
      </c>
      <c r="G26" s="91" t="s">
        <v>325</v>
      </c>
      <c r="H26" s="1" t="s">
        <v>95</v>
      </c>
    </row>
    <row r="27" spans="1:10">
      <c r="G27" s="91" t="s">
        <v>326</v>
      </c>
      <c r="H27" s="41"/>
    </row>
    <row r="28" spans="1:10">
      <c r="D28" t="s">
        <v>64</v>
      </c>
      <c r="G28" s="41" t="s">
        <v>327</v>
      </c>
      <c r="H28" s="20" t="s">
        <v>89</v>
      </c>
    </row>
    <row r="29" spans="1:10">
      <c r="G29" s="41" t="s">
        <v>328</v>
      </c>
      <c r="H29" s="20" t="s">
        <v>90</v>
      </c>
    </row>
    <row r="30" spans="1:10">
      <c r="D30" s="1" t="s">
        <v>453</v>
      </c>
      <c r="G30" s="41" t="s">
        <v>329</v>
      </c>
      <c r="H30" s="20" t="s">
        <v>91</v>
      </c>
    </row>
    <row r="31" spans="1:10">
      <c r="G31" s="41" t="s">
        <v>330</v>
      </c>
      <c r="H31" s="20" t="s">
        <v>92</v>
      </c>
    </row>
    <row r="32" spans="1:10">
      <c r="D32" t="s">
        <v>469</v>
      </c>
      <c r="G32" s="41"/>
    </row>
    <row r="33" spans="4:8">
      <c r="G33" s="41"/>
      <c r="H33" s="1" t="s">
        <v>93</v>
      </c>
    </row>
    <row r="34" spans="4:8">
      <c r="D34" s="1" t="s">
        <v>464</v>
      </c>
      <c r="H34" s="41"/>
    </row>
    <row r="35" spans="4:8">
      <c r="D35" t="s">
        <v>470</v>
      </c>
      <c r="G35" s="20"/>
      <c r="H35" s="2" t="s">
        <v>238</v>
      </c>
    </row>
    <row r="36" spans="4:8">
      <c r="G36" s="38" t="s">
        <v>155</v>
      </c>
    </row>
    <row r="37" spans="4:8">
      <c r="H37" s="1" t="s">
        <v>96</v>
      </c>
    </row>
    <row r="38" spans="4:8">
      <c r="G38" s="20" t="s">
        <v>81</v>
      </c>
      <c r="H38" s="41" t="s">
        <v>360</v>
      </c>
    </row>
    <row r="39" spans="4:8">
      <c r="G39" s="20" t="s">
        <v>82</v>
      </c>
      <c r="H39" s="41" t="s">
        <v>361</v>
      </c>
    </row>
    <row r="40" spans="4:8">
      <c r="H40" s="41" t="s">
        <v>362</v>
      </c>
    </row>
    <row r="41" spans="4:8">
      <c r="G41" s="1" t="s">
        <v>163</v>
      </c>
      <c r="H41" s="41" t="s">
        <v>511</v>
      </c>
    </row>
    <row r="42" spans="4:8">
      <c r="H42" s="1"/>
    </row>
    <row r="43" spans="4:8">
      <c r="G43" t="s">
        <v>164</v>
      </c>
      <c r="H43" s="1"/>
    </row>
    <row r="44" spans="4:8">
      <c r="G44" t="s">
        <v>165</v>
      </c>
      <c r="H44" s="1"/>
    </row>
    <row r="45" spans="4:8">
      <c r="G45" t="s">
        <v>166</v>
      </c>
      <c r="H45" s="58"/>
    </row>
    <row r="46" spans="4:8">
      <c r="G46" t="s">
        <v>167</v>
      </c>
    </row>
    <row r="47" spans="4:8">
      <c r="G47" t="s">
        <v>168</v>
      </c>
      <c r="H47" s="1" t="s">
        <v>34</v>
      </c>
    </row>
    <row r="48" spans="4:8">
      <c r="G48" t="s">
        <v>169</v>
      </c>
    </row>
    <row r="49" spans="7:8">
      <c r="G49" t="s">
        <v>170</v>
      </c>
      <c r="H49" t="s">
        <v>425</v>
      </c>
    </row>
    <row r="50" spans="7:8">
      <c r="G50" s="1" t="s">
        <v>452</v>
      </c>
      <c r="H50" t="s">
        <v>98</v>
      </c>
    </row>
    <row r="51" spans="7:8">
      <c r="G51" t="s">
        <v>171</v>
      </c>
      <c r="H51" t="s">
        <v>363</v>
      </c>
    </row>
    <row r="52" spans="7:8">
      <c r="G52" t="s">
        <v>172</v>
      </c>
      <c r="H52" t="s">
        <v>364</v>
      </c>
    </row>
    <row r="53" spans="7:8">
      <c r="G53" t="s">
        <v>404</v>
      </c>
      <c r="H53" t="s">
        <v>99</v>
      </c>
    </row>
    <row r="54" spans="7:8">
      <c r="G54" t="s">
        <v>173</v>
      </c>
      <c r="H54" t="s">
        <v>100</v>
      </c>
    </row>
    <row r="55" spans="7:8">
      <c r="G55" t="s">
        <v>174</v>
      </c>
      <c r="H55" t="s">
        <v>365</v>
      </c>
    </row>
    <row r="56" spans="7:8">
      <c r="G56" t="s">
        <v>175</v>
      </c>
      <c r="H56" t="s">
        <v>103</v>
      </c>
    </row>
    <row r="57" spans="7:8">
      <c r="G57" t="s">
        <v>176</v>
      </c>
      <c r="H57" t="s">
        <v>366</v>
      </c>
    </row>
    <row r="58" spans="7:8">
      <c r="G58" t="s">
        <v>14</v>
      </c>
      <c r="H58" t="s">
        <v>105</v>
      </c>
    </row>
    <row r="59" spans="7:8">
      <c r="H59" t="s">
        <v>101</v>
      </c>
    </row>
    <row r="60" spans="7:8">
      <c r="G60" s="1" t="s">
        <v>311</v>
      </c>
      <c r="H60" t="s">
        <v>102</v>
      </c>
    </row>
    <row r="61" spans="7:8">
      <c r="H61" t="s">
        <v>104</v>
      </c>
    </row>
    <row r="62" spans="7:8">
      <c r="G62" s="20" t="s">
        <v>406</v>
      </c>
    </row>
    <row r="63" spans="7:8">
      <c r="G63" s="20" t="s">
        <v>407</v>
      </c>
    </row>
    <row r="64" spans="7:8">
      <c r="G64" s="20" t="s">
        <v>405</v>
      </c>
    </row>
    <row r="65" spans="7:8">
      <c r="G65" s="20" t="s">
        <v>306</v>
      </c>
    </row>
    <row r="66" spans="7:8">
      <c r="G66" s="20" t="s">
        <v>309</v>
      </c>
      <c r="H66" s="1" t="s">
        <v>114</v>
      </c>
    </row>
    <row r="67" spans="7:8">
      <c r="G67" s="20" t="s">
        <v>308</v>
      </c>
      <c r="H67" s="58" t="s">
        <v>97</v>
      </c>
    </row>
    <row r="68" spans="7:8">
      <c r="G68" s="20" t="s">
        <v>310</v>
      </c>
    </row>
    <row r="69" spans="7:8">
      <c r="G69" s="20" t="s">
        <v>442</v>
      </c>
      <c r="H69" s="1" t="s">
        <v>113</v>
      </c>
    </row>
    <row r="70" spans="7:8">
      <c r="G70" s="20" t="s">
        <v>446</v>
      </c>
    </row>
    <row r="71" spans="7:8">
      <c r="G71" s="20" t="s">
        <v>307</v>
      </c>
      <c r="H71" t="s">
        <v>106</v>
      </c>
    </row>
    <row r="72" spans="7:8">
      <c r="G72" s="20" t="s">
        <v>447</v>
      </c>
      <c r="H72" t="s">
        <v>107</v>
      </c>
    </row>
    <row r="73" spans="7:8">
      <c r="G73" s="20" t="s">
        <v>448</v>
      </c>
      <c r="H73" t="s">
        <v>108</v>
      </c>
    </row>
    <row r="74" spans="7:8">
      <c r="G74" s="20" t="s">
        <v>445</v>
      </c>
      <c r="H74" t="s">
        <v>109</v>
      </c>
    </row>
    <row r="75" spans="7:8">
      <c r="G75" s="20" t="s">
        <v>443</v>
      </c>
      <c r="H75" t="s">
        <v>110</v>
      </c>
    </row>
    <row r="76" spans="7:8">
      <c r="H76" t="s">
        <v>112</v>
      </c>
    </row>
    <row r="77" spans="7:8">
      <c r="H77" t="s">
        <v>111</v>
      </c>
    </row>
    <row r="79" spans="7:8">
      <c r="H79" s="1" t="s">
        <v>115</v>
      </c>
    </row>
    <row r="81" spans="8:8">
      <c r="H81">
        <v>90</v>
      </c>
    </row>
    <row r="82" spans="8:8">
      <c r="H82" t="s">
        <v>116</v>
      </c>
    </row>
    <row r="84" spans="8:8">
      <c r="H84" s="1" t="s">
        <v>121</v>
      </c>
    </row>
    <row r="85" spans="8:8">
      <c r="H85" s="58" t="s">
        <v>97</v>
      </c>
    </row>
    <row r="87" spans="8:8">
      <c r="H87" s="1" t="s">
        <v>120</v>
      </c>
    </row>
    <row r="89" spans="8:8">
      <c r="H89" t="s">
        <v>117</v>
      </c>
    </row>
    <row r="90" spans="8:8">
      <c r="H90" s="20" t="s">
        <v>118</v>
      </c>
    </row>
    <row r="91" spans="8:8">
      <c r="H91" s="20" t="s">
        <v>119</v>
      </c>
    </row>
    <row r="92" spans="8:8">
      <c r="H92" s="20"/>
    </row>
    <row r="93" spans="8:8">
      <c r="H93" s="1" t="s">
        <v>122</v>
      </c>
    </row>
    <row r="94" spans="8:8">
      <c r="H94" s="96"/>
    </row>
    <row r="95" spans="8:8">
      <c r="H95" s="96">
        <v>8</v>
      </c>
    </row>
    <row r="96" spans="8:8">
      <c r="H96" s="96">
        <v>16</v>
      </c>
    </row>
    <row r="97" spans="8:8">
      <c r="H97" s="96">
        <v>32</v>
      </c>
    </row>
    <row r="98" spans="8:8">
      <c r="H98" s="96">
        <v>48</v>
      </c>
    </row>
    <row r="99" spans="8:8">
      <c r="H99" s="96">
        <v>64</v>
      </c>
    </row>
    <row r="100" spans="8:8">
      <c r="H100" s="2" t="s">
        <v>239</v>
      </c>
    </row>
    <row r="101" spans="8:8">
      <c r="H101" s="2" t="s">
        <v>240</v>
      </c>
    </row>
    <row r="103" spans="8:8">
      <c r="H103" s="1" t="s">
        <v>123</v>
      </c>
    </row>
    <row r="105" spans="8:8">
      <c r="H105" t="s">
        <v>124</v>
      </c>
    </row>
    <row r="106" spans="8:8">
      <c r="H106" t="s">
        <v>125</v>
      </c>
    </row>
    <row r="107" spans="8:8">
      <c r="H107" t="s">
        <v>126</v>
      </c>
    </row>
    <row r="108" spans="8:8">
      <c r="H108" t="s">
        <v>127</v>
      </c>
    </row>
    <row r="110" spans="8:8">
      <c r="H110" s="166" t="s">
        <v>296</v>
      </c>
    </row>
    <row r="111" spans="8:8">
      <c r="H111" s="96"/>
    </row>
    <row r="112" spans="8:8">
      <c r="H112" s="96" t="s">
        <v>297</v>
      </c>
    </row>
    <row r="113" spans="8:8">
      <c r="H113" s="96">
        <v>3</v>
      </c>
    </row>
    <row r="114" spans="8:8">
      <c r="H114" s="96">
        <v>5</v>
      </c>
    </row>
    <row r="116" spans="8:8">
      <c r="H116" s="1" t="s">
        <v>354</v>
      </c>
    </row>
    <row r="118" spans="8:8">
      <c r="H118" t="s">
        <v>352</v>
      </c>
    </row>
    <row r="119" spans="8:8">
      <c r="H119" t="s">
        <v>353</v>
      </c>
    </row>
    <row r="121" spans="8:8">
      <c r="H121" s="1" t="s">
        <v>501</v>
      </c>
    </row>
    <row r="123" spans="8:8">
      <c r="H123" t="s">
        <v>5</v>
      </c>
    </row>
    <row r="124" spans="8:8">
      <c r="H124" t="s">
        <v>6</v>
      </c>
    </row>
  </sheetData>
  <sortState ref="G52:G60">
    <sortCondition ref="G52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"/>
  <sheetViews>
    <sheetView workbookViewId="0"/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analytical_sample</vt:lpstr>
      <vt:lpstr>chromatography</vt:lpstr>
      <vt:lpstr>MS_analyzer</vt:lpstr>
      <vt:lpstr>MS_peaks</vt:lpstr>
      <vt:lpstr>NMR_peaks_all</vt:lpstr>
      <vt:lpstr>NMR_analyzer</vt:lpstr>
      <vt:lpstr>NMR_peaks_H1D</vt:lpstr>
      <vt:lpstr>NMR_peaks_C1D</vt:lpstr>
      <vt:lpstr>other</vt:lpstr>
      <vt:lpstr>validation</vt:lpstr>
      <vt:lpstr>form_data</vt:lpstr>
      <vt:lpstr>MS_help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np</dc:creator>
  <cp:lastModifiedBy>np</cp:lastModifiedBy>
  <dcterms:created xsi:type="dcterms:W3CDTF">2014-07-25T12:11:24Z</dcterms:created>
  <dcterms:modified xsi:type="dcterms:W3CDTF">2015-11-18T15:26:25Z</dcterms:modified>
</cp:coreProperties>
</file>